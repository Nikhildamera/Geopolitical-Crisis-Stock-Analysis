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nikhil.dameraicloud.com/Downloads/Bussines analytics/Ex/"/>
    </mc:Choice>
  </mc:AlternateContent>
  <xr:revisionPtr revIDLastSave="0" documentId="8_{75AF8B18-79E9-1442-AF85-8B524872DD33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1_Company_Info" sheetId="1" r:id="rId1"/>
    <sheet name="2_Raw_Data" sheetId="2" r:id="rId2"/>
    <sheet name="3_Analysis_YOU_DO" sheetId="3" r:id="rId3"/>
    <sheet name="ANSWER_KE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B28" i="3"/>
  <c r="B27" i="3"/>
  <c r="B26" i="3"/>
  <c r="B25" i="3"/>
  <c r="B19" i="3"/>
  <c r="B21" i="3"/>
  <c r="B22" i="3"/>
  <c r="B20" i="3"/>
  <c r="B8" i="3"/>
  <c r="B7" i="3"/>
  <c r="B6" i="3"/>
  <c r="B5" i="3"/>
  <c r="B4" i="3"/>
  <c r="B15" i="3"/>
  <c r="B14" i="3"/>
  <c r="B13" i="3"/>
  <c r="B12" i="3"/>
  <c r="B11" i="3"/>
  <c r="C26" i="4"/>
  <c r="C25" i="4"/>
  <c r="C24" i="4"/>
  <c r="C23" i="4"/>
  <c r="C22" i="4"/>
  <c r="C20" i="4"/>
  <c r="C19" i="4"/>
  <c r="C18" i="4"/>
  <c r="C17" i="4"/>
  <c r="C14" i="4"/>
  <c r="C13" i="4"/>
  <c r="C12" i="4"/>
  <c r="C11" i="4"/>
  <c r="C10" i="4"/>
  <c r="C8" i="4"/>
  <c r="C7" i="4"/>
  <c r="C6" i="4"/>
  <c r="C5" i="4"/>
  <c r="C4" i="4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<sst xmlns="http://schemas.openxmlformats.org/spreadsheetml/2006/main" count="102" uniqueCount="73">
  <si>
    <t>Stock Market Performance Analyzer — Company Reference</t>
  </si>
  <si>
    <t>Dataset Period: Jan 2, 2024 — Dec 31, 2024  |  5 Companies  |  252 Trading Days</t>
  </si>
  <si>
    <t>Ticker</t>
  </si>
  <si>
    <t>Company Name</t>
  </si>
  <si>
    <t>Sector</t>
  </si>
  <si>
    <t>Start Price ($)</t>
  </si>
  <si>
    <t>End Price ($)</t>
  </si>
  <si>
    <t>AAPL</t>
  </si>
  <si>
    <t>Apple Inc.</t>
  </si>
  <si>
    <t>Technology</t>
  </si>
  <si>
    <t>MSFT</t>
  </si>
  <si>
    <t>Microsoft Corp.</t>
  </si>
  <si>
    <t>JPM</t>
  </si>
  <si>
    <t>JPMorgan Chase</t>
  </si>
  <si>
    <t>Finance</t>
  </si>
  <si>
    <t>JNJ</t>
  </si>
  <si>
    <t>Johnson &amp; Johnson</t>
  </si>
  <si>
    <t>Healthcare</t>
  </si>
  <si>
    <t>TSLA</t>
  </si>
  <si>
    <t>Tesla Inc.</t>
  </si>
  <si>
    <t>Automotive</t>
  </si>
  <si>
    <t>Daily Stock Closing Prices — 2024 (USD)</t>
  </si>
  <si>
    <t>Date</t>
  </si>
  <si>
    <t>AAPL ($)</t>
  </si>
  <si>
    <t>MSFT ($)</t>
  </si>
  <si>
    <t>JPM ($)</t>
  </si>
  <si>
    <t>JNJ ($)</t>
  </si>
  <si>
    <t>TSLA ($)</t>
  </si>
  <si>
    <t>Market Avg ($)</t>
  </si>
  <si>
    <t>📊 Analysis Sheet — Fill in the yellow cells using formulas!</t>
  </si>
  <si>
    <t>SECTION 1: Basic Statistics</t>
  </si>
  <si>
    <t>Average Price — AAPL</t>
  </si>
  <si>
    <t>Average Price — MSFT</t>
  </si>
  <si>
    <t>Highest Price — TSLA</t>
  </si>
  <si>
    <t>Lowest Price — JNJ</t>
  </si>
  <si>
    <t>Total Trading Days</t>
  </si>
  <si>
    <t>SECTION 2: Performance Analysis</t>
  </si>
  <si>
    <t>AAPL Return %</t>
  </si>
  <si>
    <t>MSFT Return %</t>
  </si>
  <si>
    <t>JPM Return %</t>
  </si>
  <si>
    <t>JNJ Return %</t>
  </si>
  <si>
    <t>TSLA Return %</t>
  </si>
  <si>
    <t>SECTION 3: VLOOKUP — Stock Finder</t>
  </si>
  <si>
    <t>Enter Ticker →</t>
  </si>
  <si>
    <t>Start Price</t>
  </si>
  <si>
    <t>End Price</t>
  </si>
  <si>
    <t>SECTION 4: Risk Analysis</t>
  </si>
  <si>
    <t>AAPL Volatility (StdDev)</t>
  </si>
  <si>
    <t>MSFT Volatility (StdDev)</t>
  </si>
  <si>
    <t>JPM Volatility (StdDev)</t>
  </si>
  <si>
    <t>JNJ Volatility (StdDev)</t>
  </si>
  <si>
    <t>TSLA Volatility (StdDev)</t>
  </si>
  <si>
    <t>🔑 Answer Key — Check your work here!</t>
  </si>
  <si>
    <t>B4</t>
  </si>
  <si>
    <t>B5</t>
  </si>
  <si>
    <t>B6</t>
  </si>
  <si>
    <t>B7</t>
  </si>
  <si>
    <t>B8</t>
  </si>
  <si>
    <t>B11</t>
  </si>
  <si>
    <t>B12</t>
  </si>
  <si>
    <t>B13</t>
  </si>
  <si>
    <t>B14</t>
  </si>
  <si>
    <t>B15</t>
  </si>
  <si>
    <t>B18</t>
  </si>
  <si>
    <t>B19</t>
  </si>
  <si>
    <t>B20</t>
  </si>
  <si>
    <t>B21</t>
  </si>
  <si>
    <t>B22</t>
  </si>
  <si>
    <t>B25</t>
  </si>
  <si>
    <t>B26</t>
  </si>
  <si>
    <t>B27</t>
  </si>
  <si>
    <t>B28</t>
  </si>
  <si>
    <t>B29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</si>
</sst>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mmm\ dd\,\ yyyy"/>
  </numFmts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9"/>
      <color rgb="FF37562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/>
    <xf numFmtId="0" fontId="9" fillId="11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5" fillId="10" borderId="0" xfId="0" applyFont="1" applyFill="1" applyAlignment="1">
      <alignment horizontal="center"/>
    </xf>
    <xf numFmtId="0" fontId="8" fillId="5" borderId="0" xfId="0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workbookViewId="0">
      <selection activeCell="A11" sqref="A11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14" customWidth="1"/>
    <col min="4" max="5" width="16" customWidth="1"/>
  </cols>
  <sheetData>
    <row r="1" spans="1:5" ht="30" customHeight="1" x14ac:dyDescent="0.2">
      <c r="A1" s="18" t="s">
        <v>0</v>
      </c>
      <c r="B1" s="17"/>
      <c r="C1" s="17"/>
      <c r="D1" s="17"/>
      <c r="E1" s="17"/>
    </row>
    <row r="2" spans="1:5" x14ac:dyDescent="0.2">
      <c r="A2" s="16" t="s">
        <v>1</v>
      </c>
      <c r="B2" s="17"/>
      <c r="C2" s="17"/>
      <c r="D2" s="17"/>
      <c r="E2" s="17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">
      <c r="A5" s="2" t="s">
        <v>7</v>
      </c>
      <c r="B5" s="2" t="s">
        <v>8</v>
      </c>
      <c r="C5" s="2" t="s">
        <v>9</v>
      </c>
      <c r="D5" s="3">
        <v>182.5</v>
      </c>
      <c r="E5" s="3">
        <v>264</v>
      </c>
    </row>
    <row r="6" spans="1:5" x14ac:dyDescent="0.2">
      <c r="A6" s="4" t="s">
        <v>10</v>
      </c>
      <c r="B6" s="4" t="s">
        <v>11</v>
      </c>
      <c r="C6" s="4" t="s">
        <v>9</v>
      </c>
      <c r="D6" s="5">
        <v>374</v>
      </c>
      <c r="E6" s="5">
        <v>375.05</v>
      </c>
    </row>
    <row r="7" spans="1:5" x14ac:dyDescent="0.2">
      <c r="A7" s="2" t="s">
        <v>12</v>
      </c>
      <c r="B7" s="2" t="s">
        <v>13</v>
      </c>
      <c r="C7" s="2" t="s">
        <v>14</v>
      </c>
      <c r="D7" s="3">
        <v>195</v>
      </c>
      <c r="E7" s="3">
        <v>163.27000000000001</v>
      </c>
    </row>
    <row r="8" spans="1:5" x14ac:dyDescent="0.2">
      <c r="A8" s="4" t="s">
        <v>15</v>
      </c>
      <c r="B8" s="4" t="s">
        <v>16</v>
      </c>
      <c r="C8" s="4" t="s">
        <v>17</v>
      </c>
      <c r="D8" s="5">
        <v>158</v>
      </c>
      <c r="E8" s="5">
        <v>132.58000000000001</v>
      </c>
    </row>
    <row r="9" spans="1:5" x14ac:dyDescent="0.2">
      <c r="A9" s="2" t="s">
        <v>18</v>
      </c>
      <c r="B9" s="2" t="s">
        <v>19</v>
      </c>
      <c r="C9" s="2" t="s">
        <v>20</v>
      </c>
      <c r="D9" s="3">
        <v>245</v>
      </c>
      <c r="E9" s="3">
        <v>142.15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4"/>
  <sheetViews>
    <sheetView showGridLines="0"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16" customWidth="1"/>
    <col min="2" max="7" width="13" customWidth="1"/>
  </cols>
  <sheetData>
    <row r="1" spans="1:7" ht="28" customHeight="1" x14ac:dyDescent="0.2">
      <c r="A1" s="19" t="s">
        <v>21</v>
      </c>
      <c r="B1" s="17"/>
      <c r="C1" s="17"/>
      <c r="D1" s="17"/>
      <c r="E1" s="17"/>
      <c r="F1" s="17"/>
      <c r="G1" s="17"/>
    </row>
    <row r="2" spans="1:7" x14ac:dyDescent="0.2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1" t="s">
        <v>28</v>
      </c>
    </row>
    <row r="3" spans="1:7" x14ac:dyDescent="0.2">
      <c r="A3" s="7">
        <v>45293</v>
      </c>
      <c r="B3" s="3">
        <v>182.5</v>
      </c>
      <c r="C3" s="3">
        <v>374</v>
      </c>
      <c r="D3" s="3">
        <v>195</v>
      </c>
      <c r="E3" s="3">
        <v>158</v>
      </c>
      <c r="F3" s="3">
        <v>245</v>
      </c>
      <c r="G3" s="8">
        <f t="shared" ref="G3:G66" si="0">AVERAGE(B3:F3)</f>
        <v>230.9</v>
      </c>
    </row>
    <row r="4" spans="1:7" x14ac:dyDescent="0.2">
      <c r="A4" s="9">
        <v>45294</v>
      </c>
      <c r="B4" s="5">
        <v>182.21</v>
      </c>
      <c r="C4" s="5">
        <v>381.54</v>
      </c>
      <c r="D4" s="5">
        <v>192.29</v>
      </c>
      <c r="E4" s="5">
        <v>159.12</v>
      </c>
      <c r="F4" s="5">
        <v>240.71</v>
      </c>
      <c r="G4" s="10">
        <f t="shared" si="0"/>
        <v>231.17399999999998</v>
      </c>
    </row>
    <row r="5" spans="1:7" x14ac:dyDescent="0.2">
      <c r="A5" s="7">
        <v>45295</v>
      </c>
      <c r="B5" s="3">
        <v>181.86</v>
      </c>
      <c r="C5" s="3">
        <v>386.59</v>
      </c>
      <c r="D5" s="3">
        <v>194.49</v>
      </c>
      <c r="E5" s="3">
        <v>161.49</v>
      </c>
      <c r="F5" s="3">
        <v>246.05</v>
      </c>
      <c r="G5" s="8">
        <f t="shared" si="0"/>
        <v>234.096</v>
      </c>
    </row>
    <row r="6" spans="1:7" x14ac:dyDescent="0.2">
      <c r="A6" s="9">
        <v>45296</v>
      </c>
      <c r="B6" s="5">
        <v>181.65</v>
      </c>
      <c r="C6" s="5">
        <v>389.16</v>
      </c>
      <c r="D6" s="5">
        <v>198.4</v>
      </c>
      <c r="E6" s="5">
        <v>161.36000000000001</v>
      </c>
      <c r="F6" s="5">
        <v>247.42</v>
      </c>
      <c r="G6" s="10">
        <f t="shared" si="0"/>
        <v>235.59800000000001</v>
      </c>
    </row>
    <row r="7" spans="1:7" x14ac:dyDescent="0.2">
      <c r="A7" s="7">
        <v>45299</v>
      </c>
      <c r="B7" s="3">
        <v>183.36</v>
      </c>
      <c r="C7" s="3">
        <v>406.12</v>
      </c>
      <c r="D7" s="3">
        <v>199.13</v>
      </c>
      <c r="E7" s="3">
        <v>159.80000000000001</v>
      </c>
      <c r="F7" s="3">
        <v>250.78</v>
      </c>
      <c r="G7" s="8">
        <f t="shared" si="0"/>
        <v>239.83800000000002</v>
      </c>
    </row>
    <row r="8" spans="1:7" x14ac:dyDescent="0.2">
      <c r="A8" s="9">
        <v>45300</v>
      </c>
      <c r="B8" s="5">
        <v>183.11</v>
      </c>
      <c r="C8" s="5">
        <v>406.07</v>
      </c>
      <c r="D8" s="5">
        <v>201.23</v>
      </c>
      <c r="E8" s="5">
        <v>159.41</v>
      </c>
      <c r="F8" s="5">
        <v>255.32</v>
      </c>
      <c r="G8" s="10">
        <f t="shared" si="0"/>
        <v>241.02800000000002</v>
      </c>
    </row>
    <row r="9" spans="1:7" x14ac:dyDescent="0.2">
      <c r="A9" s="7">
        <v>45301</v>
      </c>
      <c r="B9" s="3">
        <v>179.6</v>
      </c>
      <c r="C9" s="3">
        <v>409.47</v>
      </c>
      <c r="D9" s="3">
        <v>203.65</v>
      </c>
      <c r="E9" s="3">
        <v>160.04</v>
      </c>
      <c r="F9" s="3">
        <v>248.97</v>
      </c>
      <c r="G9" s="8">
        <f t="shared" si="0"/>
        <v>240.346</v>
      </c>
    </row>
    <row r="10" spans="1:7" x14ac:dyDescent="0.2">
      <c r="A10" s="9">
        <v>45302</v>
      </c>
      <c r="B10" s="5">
        <v>180.43</v>
      </c>
      <c r="C10" s="5">
        <v>411.23</v>
      </c>
      <c r="D10" s="5">
        <v>206.36</v>
      </c>
      <c r="E10" s="5">
        <v>161.49</v>
      </c>
      <c r="F10" s="5">
        <v>243.84</v>
      </c>
      <c r="G10" s="10">
        <f t="shared" si="0"/>
        <v>240.67000000000002</v>
      </c>
    </row>
    <row r="11" spans="1:7" x14ac:dyDescent="0.2">
      <c r="A11" s="7">
        <v>45303</v>
      </c>
      <c r="B11" s="3">
        <v>179.86</v>
      </c>
      <c r="C11" s="3">
        <v>410.17</v>
      </c>
      <c r="D11" s="3">
        <v>207.3</v>
      </c>
      <c r="E11" s="3">
        <v>161.63</v>
      </c>
      <c r="F11" s="3">
        <v>235.56</v>
      </c>
      <c r="G11" s="8">
        <f t="shared" si="0"/>
        <v>238.904</v>
      </c>
    </row>
    <row r="12" spans="1:7" x14ac:dyDescent="0.2">
      <c r="A12" s="9">
        <v>45306</v>
      </c>
      <c r="B12" s="5">
        <v>179.41</v>
      </c>
      <c r="C12" s="5">
        <v>422.64</v>
      </c>
      <c r="D12" s="5">
        <v>207.98</v>
      </c>
      <c r="E12" s="5">
        <v>159.41999999999999</v>
      </c>
      <c r="F12" s="5">
        <v>234.51</v>
      </c>
      <c r="G12" s="10">
        <f t="shared" si="0"/>
        <v>240.792</v>
      </c>
    </row>
    <row r="13" spans="1:7" x14ac:dyDescent="0.2">
      <c r="A13" s="7">
        <v>45307</v>
      </c>
      <c r="B13" s="3">
        <v>179.73</v>
      </c>
      <c r="C13" s="3">
        <v>431.04</v>
      </c>
      <c r="D13" s="3">
        <v>210.56</v>
      </c>
      <c r="E13" s="3">
        <v>159.54</v>
      </c>
      <c r="F13" s="3">
        <v>233.8</v>
      </c>
      <c r="G13" s="8">
        <f t="shared" si="0"/>
        <v>242.93399999999997</v>
      </c>
    </row>
    <row r="14" spans="1:7" x14ac:dyDescent="0.2">
      <c r="A14" s="9">
        <v>45308</v>
      </c>
      <c r="B14" s="5">
        <v>180.33</v>
      </c>
      <c r="C14" s="5">
        <v>423.33</v>
      </c>
      <c r="D14" s="5">
        <v>210.83</v>
      </c>
      <c r="E14" s="5">
        <v>158.51</v>
      </c>
      <c r="F14" s="5">
        <v>234.99</v>
      </c>
      <c r="G14" s="10">
        <f t="shared" si="0"/>
        <v>241.59800000000001</v>
      </c>
    </row>
    <row r="15" spans="1:7" x14ac:dyDescent="0.2">
      <c r="A15" s="7">
        <v>45309</v>
      </c>
      <c r="B15" s="3">
        <v>183.11</v>
      </c>
      <c r="C15" s="3">
        <v>421.26</v>
      </c>
      <c r="D15" s="3">
        <v>208.02</v>
      </c>
      <c r="E15" s="3">
        <v>155.1</v>
      </c>
      <c r="F15" s="3">
        <v>230.28</v>
      </c>
      <c r="G15" s="8">
        <f t="shared" si="0"/>
        <v>239.554</v>
      </c>
    </row>
    <row r="16" spans="1:7" x14ac:dyDescent="0.2">
      <c r="A16" s="9">
        <v>45310</v>
      </c>
      <c r="B16" s="5">
        <v>184.73</v>
      </c>
      <c r="C16" s="5">
        <v>423.73</v>
      </c>
      <c r="D16" s="5">
        <v>208.15</v>
      </c>
      <c r="E16" s="5">
        <v>154.06</v>
      </c>
      <c r="F16" s="5">
        <v>236.19</v>
      </c>
      <c r="G16" s="10">
        <f t="shared" si="0"/>
        <v>241.37200000000001</v>
      </c>
    </row>
    <row r="17" spans="1:7" x14ac:dyDescent="0.2">
      <c r="A17" s="7">
        <v>45313</v>
      </c>
      <c r="B17" s="3">
        <v>185.05</v>
      </c>
      <c r="C17" s="3">
        <v>428.17</v>
      </c>
      <c r="D17" s="3">
        <v>202.71</v>
      </c>
      <c r="E17" s="3">
        <v>151.9</v>
      </c>
      <c r="F17" s="3">
        <v>242.33</v>
      </c>
      <c r="G17" s="8">
        <f t="shared" si="0"/>
        <v>242.03200000000001</v>
      </c>
    </row>
    <row r="18" spans="1:7" x14ac:dyDescent="0.2">
      <c r="A18" s="9">
        <v>45314</v>
      </c>
      <c r="B18" s="5">
        <v>183.33</v>
      </c>
      <c r="C18" s="5">
        <v>420.79</v>
      </c>
      <c r="D18" s="5">
        <v>202.75</v>
      </c>
      <c r="E18" s="5">
        <v>152.84</v>
      </c>
      <c r="F18" s="5">
        <v>252.9</v>
      </c>
      <c r="G18" s="10">
        <f t="shared" si="0"/>
        <v>242.52200000000002</v>
      </c>
    </row>
    <row r="19" spans="1:7" x14ac:dyDescent="0.2">
      <c r="A19" s="7">
        <v>45315</v>
      </c>
      <c r="B19" s="3">
        <v>180.97</v>
      </c>
      <c r="C19" s="3">
        <v>408.58</v>
      </c>
      <c r="D19" s="3">
        <v>203.98</v>
      </c>
      <c r="E19" s="3">
        <v>155.86000000000001</v>
      </c>
      <c r="F19" s="3">
        <v>258.01</v>
      </c>
      <c r="G19" s="8">
        <f t="shared" si="0"/>
        <v>241.48000000000002</v>
      </c>
    </row>
    <row r="20" spans="1:7" x14ac:dyDescent="0.2">
      <c r="A20" s="9">
        <v>45316</v>
      </c>
      <c r="B20" s="5">
        <v>181.6</v>
      </c>
      <c r="C20" s="5">
        <v>398.58</v>
      </c>
      <c r="D20" s="5">
        <v>207.57</v>
      </c>
      <c r="E20" s="5">
        <v>158.80000000000001</v>
      </c>
      <c r="F20" s="5">
        <v>259.43</v>
      </c>
      <c r="G20" s="10">
        <f t="shared" si="0"/>
        <v>241.196</v>
      </c>
    </row>
    <row r="21" spans="1:7" x14ac:dyDescent="0.2">
      <c r="A21" s="7">
        <v>45317</v>
      </c>
      <c r="B21" s="3">
        <v>184.75</v>
      </c>
      <c r="C21" s="3">
        <v>398.33</v>
      </c>
      <c r="D21" s="3">
        <v>208.07</v>
      </c>
      <c r="E21" s="3">
        <v>157.94</v>
      </c>
      <c r="F21" s="3">
        <v>264.39</v>
      </c>
      <c r="G21" s="8">
        <f t="shared" si="0"/>
        <v>242.696</v>
      </c>
    </row>
    <row r="22" spans="1:7" x14ac:dyDescent="0.2">
      <c r="A22" s="9">
        <v>45320</v>
      </c>
      <c r="B22" s="5">
        <v>184.91</v>
      </c>
      <c r="C22" s="5">
        <v>397.92</v>
      </c>
      <c r="D22" s="5">
        <v>210.84</v>
      </c>
      <c r="E22" s="5">
        <v>157.25</v>
      </c>
      <c r="F22" s="5">
        <v>268.98</v>
      </c>
      <c r="G22" s="10">
        <f t="shared" si="0"/>
        <v>243.98000000000002</v>
      </c>
    </row>
    <row r="23" spans="1:7" x14ac:dyDescent="0.2">
      <c r="A23" s="7">
        <v>45321</v>
      </c>
      <c r="B23" s="3">
        <v>184.71</v>
      </c>
      <c r="C23" s="3">
        <v>399.83</v>
      </c>
      <c r="D23" s="3">
        <v>210.9</v>
      </c>
      <c r="E23" s="3">
        <v>158.38</v>
      </c>
      <c r="F23" s="3">
        <v>264.14999999999998</v>
      </c>
      <c r="G23" s="8">
        <f t="shared" si="0"/>
        <v>243.59399999999997</v>
      </c>
    </row>
    <row r="24" spans="1:7" x14ac:dyDescent="0.2">
      <c r="A24" s="9">
        <v>45322</v>
      </c>
      <c r="B24" s="5">
        <v>186.04</v>
      </c>
      <c r="C24" s="5">
        <v>395.95</v>
      </c>
      <c r="D24" s="5">
        <v>207.94</v>
      </c>
      <c r="E24" s="5">
        <v>160.11000000000001</v>
      </c>
      <c r="F24" s="5">
        <v>273.77</v>
      </c>
      <c r="G24" s="10">
        <f t="shared" si="0"/>
        <v>244.762</v>
      </c>
    </row>
    <row r="25" spans="1:7" x14ac:dyDescent="0.2">
      <c r="A25" s="7">
        <v>45323</v>
      </c>
      <c r="B25" s="3">
        <v>182.58</v>
      </c>
      <c r="C25" s="3">
        <v>389.77</v>
      </c>
      <c r="D25" s="3">
        <v>203.89</v>
      </c>
      <c r="E25" s="3">
        <v>159.49</v>
      </c>
      <c r="F25" s="3">
        <v>287.02999999999997</v>
      </c>
      <c r="G25" s="8">
        <f t="shared" si="0"/>
        <v>244.55199999999999</v>
      </c>
    </row>
    <row r="26" spans="1:7" x14ac:dyDescent="0.2">
      <c r="A26" s="9">
        <v>45324</v>
      </c>
      <c r="B26" s="5">
        <v>181.89</v>
      </c>
      <c r="C26" s="5">
        <v>379.64</v>
      </c>
      <c r="D26" s="5">
        <v>201.18</v>
      </c>
      <c r="E26" s="5">
        <v>159.31</v>
      </c>
      <c r="F26" s="5">
        <v>303</v>
      </c>
      <c r="G26" s="10">
        <f t="shared" si="0"/>
        <v>245.00399999999999</v>
      </c>
    </row>
    <row r="27" spans="1:7" x14ac:dyDescent="0.2">
      <c r="A27" s="7">
        <v>45327</v>
      </c>
      <c r="B27" s="3">
        <v>183.1</v>
      </c>
      <c r="C27" s="3">
        <v>381.38</v>
      </c>
      <c r="D27" s="3">
        <v>197.39</v>
      </c>
      <c r="E27" s="3">
        <v>162.87</v>
      </c>
      <c r="F27" s="3">
        <v>303.39</v>
      </c>
      <c r="G27" s="8">
        <f t="shared" si="0"/>
        <v>245.62600000000003</v>
      </c>
    </row>
    <row r="28" spans="1:7" x14ac:dyDescent="0.2">
      <c r="A28" s="9">
        <v>45328</v>
      </c>
      <c r="B28" s="5">
        <v>185.23</v>
      </c>
      <c r="C28" s="5">
        <v>383.33</v>
      </c>
      <c r="D28" s="5">
        <v>199.2</v>
      </c>
      <c r="E28" s="5">
        <v>162.74</v>
      </c>
      <c r="F28" s="5">
        <v>306.24</v>
      </c>
      <c r="G28" s="10">
        <f t="shared" si="0"/>
        <v>247.34800000000001</v>
      </c>
    </row>
    <row r="29" spans="1:7" x14ac:dyDescent="0.2">
      <c r="A29" s="7">
        <v>45329</v>
      </c>
      <c r="B29" s="3">
        <v>184.71</v>
      </c>
      <c r="C29" s="3">
        <v>388.39</v>
      </c>
      <c r="D29" s="3">
        <v>198.68</v>
      </c>
      <c r="E29" s="3">
        <v>162</v>
      </c>
      <c r="F29" s="3">
        <v>309.89999999999998</v>
      </c>
      <c r="G29" s="8">
        <f t="shared" si="0"/>
        <v>248.73599999999996</v>
      </c>
    </row>
    <row r="30" spans="1:7" x14ac:dyDescent="0.2">
      <c r="A30" s="9">
        <v>45330</v>
      </c>
      <c r="B30" s="5">
        <v>185.67</v>
      </c>
      <c r="C30" s="5">
        <v>392.5</v>
      </c>
      <c r="D30" s="5">
        <v>200.33</v>
      </c>
      <c r="E30" s="5">
        <v>162.24</v>
      </c>
      <c r="F30" s="5">
        <v>309.97000000000003</v>
      </c>
      <c r="G30" s="10">
        <f t="shared" si="0"/>
        <v>250.142</v>
      </c>
    </row>
    <row r="31" spans="1:7" x14ac:dyDescent="0.2">
      <c r="A31" s="7">
        <v>45331</v>
      </c>
      <c r="B31" s="3">
        <v>186.32</v>
      </c>
      <c r="C31" s="3">
        <v>391.64</v>
      </c>
      <c r="D31" s="3">
        <v>200.6</v>
      </c>
      <c r="E31" s="3">
        <v>163.22999999999999</v>
      </c>
      <c r="F31" s="3">
        <v>315.44</v>
      </c>
      <c r="G31" s="8">
        <f t="shared" si="0"/>
        <v>251.446</v>
      </c>
    </row>
    <row r="32" spans="1:7" x14ac:dyDescent="0.2">
      <c r="A32" s="9">
        <v>45334</v>
      </c>
      <c r="B32" s="5">
        <v>188.27</v>
      </c>
      <c r="C32" s="5">
        <v>398.63</v>
      </c>
      <c r="D32" s="5">
        <v>203.59</v>
      </c>
      <c r="E32" s="5">
        <v>161.61000000000001</v>
      </c>
      <c r="F32" s="5">
        <v>314.45999999999998</v>
      </c>
      <c r="G32" s="10">
        <f t="shared" si="0"/>
        <v>253.31199999999998</v>
      </c>
    </row>
    <row r="33" spans="1:7" x14ac:dyDescent="0.2">
      <c r="A33" s="7">
        <v>45335</v>
      </c>
      <c r="B33" s="3">
        <v>185.6</v>
      </c>
      <c r="C33" s="3">
        <v>398.04</v>
      </c>
      <c r="D33" s="3">
        <v>206.67</v>
      </c>
      <c r="E33" s="3">
        <v>161.26</v>
      </c>
      <c r="F33" s="3">
        <v>312.85000000000002</v>
      </c>
      <c r="G33" s="8">
        <f t="shared" si="0"/>
        <v>252.88400000000001</v>
      </c>
    </row>
    <row r="34" spans="1:7" x14ac:dyDescent="0.2">
      <c r="A34" s="9">
        <v>45336</v>
      </c>
      <c r="B34" s="5">
        <v>187.03</v>
      </c>
      <c r="C34" s="5">
        <v>394.74</v>
      </c>
      <c r="D34" s="5">
        <v>204.86</v>
      </c>
      <c r="E34" s="5">
        <v>159.43</v>
      </c>
      <c r="F34" s="5">
        <v>328.35</v>
      </c>
      <c r="G34" s="10">
        <f t="shared" si="0"/>
        <v>254.88199999999998</v>
      </c>
    </row>
    <row r="35" spans="1:7" x14ac:dyDescent="0.2">
      <c r="A35" s="7">
        <v>45337</v>
      </c>
      <c r="B35" s="3">
        <v>183.4</v>
      </c>
      <c r="C35" s="3">
        <v>392.19</v>
      </c>
      <c r="D35" s="3">
        <v>204.13</v>
      </c>
      <c r="E35" s="3">
        <v>159.03</v>
      </c>
      <c r="F35" s="3">
        <v>329.96</v>
      </c>
      <c r="G35" s="8">
        <f t="shared" si="0"/>
        <v>253.74200000000002</v>
      </c>
    </row>
    <row r="36" spans="1:7" x14ac:dyDescent="0.2">
      <c r="A36" s="9">
        <v>45338</v>
      </c>
      <c r="B36" s="5">
        <v>177.21</v>
      </c>
      <c r="C36" s="5">
        <v>389.33</v>
      </c>
      <c r="D36" s="5">
        <v>202.67</v>
      </c>
      <c r="E36" s="5">
        <v>162.06</v>
      </c>
      <c r="F36" s="5">
        <v>330.68</v>
      </c>
      <c r="G36" s="10">
        <f t="shared" si="0"/>
        <v>252.39000000000001</v>
      </c>
    </row>
    <row r="37" spans="1:7" x14ac:dyDescent="0.2">
      <c r="A37" s="7">
        <v>45341</v>
      </c>
      <c r="B37" s="3">
        <v>175.87</v>
      </c>
      <c r="C37" s="3">
        <v>378.49</v>
      </c>
      <c r="D37" s="3">
        <v>198.13</v>
      </c>
      <c r="E37" s="3">
        <v>163.31</v>
      </c>
      <c r="F37" s="3">
        <v>338.95</v>
      </c>
      <c r="G37" s="8">
        <f t="shared" si="0"/>
        <v>250.95</v>
      </c>
    </row>
    <row r="38" spans="1:7" x14ac:dyDescent="0.2">
      <c r="A38" s="9">
        <v>45342</v>
      </c>
      <c r="B38" s="5">
        <v>173.83</v>
      </c>
      <c r="C38" s="5">
        <v>379.37</v>
      </c>
      <c r="D38" s="5">
        <v>200.06</v>
      </c>
      <c r="E38" s="5">
        <v>163.21</v>
      </c>
      <c r="F38" s="5">
        <v>340.48</v>
      </c>
      <c r="G38" s="10">
        <f t="shared" si="0"/>
        <v>251.39000000000001</v>
      </c>
    </row>
    <row r="39" spans="1:7" x14ac:dyDescent="0.2">
      <c r="A39" s="7">
        <v>45343</v>
      </c>
      <c r="B39" s="3">
        <v>175.86</v>
      </c>
      <c r="C39" s="3">
        <v>380.72</v>
      </c>
      <c r="D39" s="3">
        <v>203.45</v>
      </c>
      <c r="E39" s="3">
        <v>161.74</v>
      </c>
      <c r="F39" s="3">
        <v>343.36</v>
      </c>
      <c r="G39" s="8">
        <f t="shared" si="0"/>
        <v>253.02600000000001</v>
      </c>
    </row>
    <row r="40" spans="1:7" x14ac:dyDescent="0.2">
      <c r="A40" s="9">
        <v>45344</v>
      </c>
      <c r="B40" s="5">
        <v>177.43</v>
      </c>
      <c r="C40" s="5">
        <v>379.04</v>
      </c>
      <c r="D40" s="5">
        <v>203.49</v>
      </c>
      <c r="E40" s="5">
        <v>161.28</v>
      </c>
      <c r="F40" s="5">
        <v>342.85</v>
      </c>
      <c r="G40" s="10">
        <f t="shared" si="0"/>
        <v>252.81800000000004</v>
      </c>
    </row>
    <row r="41" spans="1:7" x14ac:dyDescent="0.2">
      <c r="A41" s="7">
        <v>45345</v>
      </c>
      <c r="B41" s="3">
        <v>174.67</v>
      </c>
      <c r="C41" s="3">
        <v>375.64</v>
      </c>
      <c r="D41" s="3">
        <v>202.15</v>
      </c>
      <c r="E41" s="3">
        <v>163.02000000000001</v>
      </c>
      <c r="F41" s="3">
        <v>331.24</v>
      </c>
      <c r="G41" s="8">
        <f t="shared" si="0"/>
        <v>249.34399999999997</v>
      </c>
    </row>
    <row r="42" spans="1:7" x14ac:dyDescent="0.2">
      <c r="A42" s="9">
        <v>45348</v>
      </c>
      <c r="B42" s="5">
        <v>176.65</v>
      </c>
      <c r="C42" s="5">
        <v>377.57</v>
      </c>
      <c r="D42" s="5">
        <v>205.3</v>
      </c>
      <c r="E42" s="5">
        <v>162.15</v>
      </c>
      <c r="F42" s="5">
        <v>331.05</v>
      </c>
      <c r="G42" s="10">
        <f t="shared" si="0"/>
        <v>250.54400000000001</v>
      </c>
    </row>
    <row r="43" spans="1:7" x14ac:dyDescent="0.2">
      <c r="A43" s="7">
        <v>45349</v>
      </c>
      <c r="B43" s="3">
        <v>174.4</v>
      </c>
      <c r="C43" s="3">
        <v>386.11</v>
      </c>
      <c r="D43" s="3">
        <v>198.62</v>
      </c>
      <c r="E43" s="3">
        <v>164.55</v>
      </c>
      <c r="F43" s="3">
        <v>320.61</v>
      </c>
      <c r="G43" s="8">
        <f t="shared" si="0"/>
        <v>248.858</v>
      </c>
    </row>
    <row r="44" spans="1:7" x14ac:dyDescent="0.2">
      <c r="A44" s="9">
        <v>45350</v>
      </c>
      <c r="B44" s="5">
        <v>174.26</v>
      </c>
      <c r="C44" s="5">
        <v>386.42</v>
      </c>
      <c r="D44" s="5">
        <v>199.17</v>
      </c>
      <c r="E44" s="5">
        <v>162.34</v>
      </c>
      <c r="F44" s="5">
        <v>322.58999999999997</v>
      </c>
      <c r="G44" s="10">
        <f t="shared" si="0"/>
        <v>248.95599999999999</v>
      </c>
    </row>
    <row r="45" spans="1:7" x14ac:dyDescent="0.2">
      <c r="A45" s="7">
        <v>45351</v>
      </c>
      <c r="B45" s="3">
        <v>173.65</v>
      </c>
      <c r="C45" s="3">
        <v>383.99</v>
      </c>
      <c r="D45" s="3">
        <v>199.63</v>
      </c>
      <c r="E45" s="3">
        <v>161.91999999999999</v>
      </c>
      <c r="F45" s="3">
        <v>312.02</v>
      </c>
      <c r="G45" s="8">
        <f t="shared" si="0"/>
        <v>246.24200000000002</v>
      </c>
    </row>
    <row r="46" spans="1:7" x14ac:dyDescent="0.2">
      <c r="A46" s="9">
        <v>45352</v>
      </c>
      <c r="B46" s="5">
        <v>173.96</v>
      </c>
      <c r="C46" s="5">
        <v>381.15</v>
      </c>
      <c r="D46" s="5">
        <v>198.09</v>
      </c>
      <c r="E46" s="5">
        <v>164.79</v>
      </c>
      <c r="F46" s="5">
        <v>320.12</v>
      </c>
      <c r="G46" s="10">
        <f t="shared" si="0"/>
        <v>247.62200000000001</v>
      </c>
    </row>
    <row r="47" spans="1:7" x14ac:dyDescent="0.2">
      <c r="A47" s="7">
        <v>45355</v>
      </c>
      <c r="B47" s="3">
        <v>175.86</v>
      </c>
      <c r="C47" s="3">
        <v>380.92</v>
      </c>
      <c r="D47" s="3">
        <v>202.01</v>
      </c>
      <c r="E47" s="3">
        <v>161.53</v>
      </c>
      <c r="F47" s="3">
        <v>326.93</v>
      </c>
      <c r="G47" s="8">
        <f t="shared" si="0"/>
        <v>249.45</v>
      </c>
    </row>
    <row r="48" spans="1:7" x14ac:dyDescent="0.2">
      <c r="A48" s="9">
        <v>45356</v>
      </c>
      <c r="B48" s="5">
        <v>177.37</v>
      </c>
      <c r="C48" s="5">
        <v>374.77</v>
      </c>
      <c r="D48" s="5">
        <v>204.82</v>
      </c>
      <c r="E48" s="5">
        <v>163.5</v>
      </c>
      <c r="F48" s="5">
        <v>329.6</v>
      </c>
      <c r="G48" s="10">
        <f t="shared" si="0"/>
        <v>250.012</v>
      </c>
    </row>
    <row r="49" spans="1:7" x14ac:dyDescent="0.2">
      <c r="A49" s="7">
        <v>45357</v>
      </c>
      <c r="B49" s="3">
        <v>178.23</v>
      </c>
      <c r="C49" s="3">
        <v>374.27</v>
      </c>
      <c r="D49" s="3">
        <v>204.13</v>
      </c>
      <c r="E49" s="3">
        <v>160.52000000000001</v>
      </c>
      <c r="F49" s="3">
        <v>328.77</v>
      </c>
      <c r="G49" s="8">
        <f t="shared" si="0"/>
        <v>249.18400000000003</v>
      </c>
    </row>
    <row r="50" spans="1:7" x14ac:dyDescent="0.2">
      <c r="A50" s="9">
        <v>45358</v>
      </c>
      <c r="B50" s="5">
        <v>179.79</v>
      </c>
      <c r="C50" s="5">
        <v>374.68</v>
      </c>
      <c r="D50" s="5">
        <v>203.94</v>
      </c>
      <c r="E50" s="5">
        <v>160.41999999999999</v>
      </c>
      <c r="F50" s="5">
        <v>332.7</v>
      </c>
      <c r="G50" s="10">
        <f t="shared" si="0"/>
        <v>250.30599999999998</v>
      </c>
    </row>
    <row r="51" spans="1:7" x14ac:dyDescent="0.2">
      <c r="A51" s="7">
        <v>45359</v>
      </c>
      <c r="B51" s="3">
        <v>180.96</v>
      </c>
      <c r="C51" s="3">
        <v>383.78</v>
      </c>
      <c r="D51" s="3">
        <v>202.89</v>
      </c>
      <c r="E51" s="3">
        <v>160.19</v>
      </c>
      <c r="F51" s="3">
        <v>314.49</v>
      </c>
      <c r="G51" s="8">
        <f t="shared" si="0"/>
        <v>248.46199999999999</v>
      </c>
    </row>
    <row r="52" spans="1:7" x14ac:dyDescent="0.2">
      <c r="A52" s="9">
        <v>45362</v>
      </c>
      <c r="B52" s="5">
        <v>179.54</v>
      </c>
      <c r="C52" s="5">
        <v>388.6</v>
      </c>
      <c r="D52" s="5">
        <v>201.5</v>
      </c>
      <c r="E52" s="5">
        <v>161.56</v>
      </c>
      <c r="F52" s="5">
        <v>304.93</v>
      </c>
      <c r="G52" s="10">
        <f t="shared" si="0"/>
        <v>247.22600000000003</v>
      </c>
    </row>
    <row r="53" spans="1:7" x14ac:dyDescent="0.2">
      <c r="A53" s="7">
        <v>45363</v>
      </c>
      <c r="B53" s="3">
        <v>177.92</v>
      </c>
      <c r="C53" s="3">
        <v>393.94</v>
      </c>
      <c r="D53" s="3">
        <v>197.87</v>
      </c>
      <c r="E53" s="3">
        <v>156.51</v>
      </c>
      <c r="F53" s="3">
        <v>303.75</v>
      </c>
      <c r="G53" s="8">
        <f t="shared" si="0"/>
        <v>245.99799999999999</v>
      </c>
    </row>
    <row r="54" spans="1:7" x14ac:dyDescent="0.2">
      <c r="A54" s="9">
        <v>45364</v>
      </c>
      <c r="B54" s="5">
        <v>176.89</v>
      </c>
      <c r="C54" s="5">
        <v>390.41</v>
      </c>
      <c r="D54" s="5">
        <v>201.75</v>
      </c>
      <c r="E54" s="5">
        <v>153.56</v>
      </c>
      <c r="F54" s="5">
        <v>306.77999999999997</v>
      </c>
      <c r="G54" s="10">
        <f t="shared" si="0"/>
        <v>245.87799999999999</v>
      </c>
    </row>
    <row r="55" spans="1:7" x14ac:dyDescent="0.2">
      <c r="A55" s="7">
        <v>45365</v>
      </c>
      <c r="B55" s="3">
        <v>178.09</v>
      </c>
      <c r="C55" s="3">
        <v>393.93</v>
      </c>
      <c r="D55" s="3">
        <v>204.71</v>
      </c>
      <c r="E55" s="3">
        <v>152.74</v>
      </c>
      <c r="F55" s="3">
        <v>306.19</v>
      </c>
      <c r="G55" s="8">
        <f t="shared" si="0"/>
        <v>247.13200000000001</v>
      </c>
    </row>
    <row r="56" spans="1:7" x14ac:dyDescent="0.2">
      <c r="A56" s="9">
        <v>45366</v>
      </c>
      <c r="B56" s="5">
        <v>177.56</v>
      </c>
      <c r="C56" s="5">
        <v>388.21</v>
      </c>
      <c r="D56" s="5">
        <v>207.06</v>
      </c>
      <c r="E56" s="5">
        <v>152.84</v>
      </c>
      <c r="F56" s="5">
        <v>297.67</v>
      </c>
      <c r="G56" s="10">
        <f t="shared" si="0"/>
        <v>244.66799999999998</v>
      </c>
    </row>
    <row r="57" spans="1:7" x14ac:dyDescent="0.2">
      <c r="A57" s="7">
        <v>45369</v>
      </c>
      <c r="B57" s="3">
        <v>183</v>
      </c>
      <c r="C57" s="3">
        <v>389.9</v>
      </c>
      <c r="D57" s="3">
        <v>203.95</v>
      </c>
      <c r="E57" s="3">
        <v>151.52000000000001</v>
      </c>
      <c r="F57" s="3">
        <v>298.87</v>
      </c>
      <c r="G57" s="8">
        <f t="shared" si="0"/>
        <v>245.44799999999995</v>
      </c>
    </row>
    <row r="58" spans="1:7" x14ac:dyDescent="0.2">
      <c r="A58" s="9">
        <v>45370</v>
      </c>
      <c r="B58" s="5">
        <v>181.11</v>
      </c>
      <c r="C58" s="5">
        <v>392.14</v>
      </c>
      <c r="D58" s="5">
        <v>209.95</v>
      </c>
      <c r="E58" s="5">
        <v>151.22999999999999</v>
      </c>
      <c r="F58" s="5">
        <v>295.16000000000003</v>
      </c>
      <c r="G58" s="10">
        <f t="shared" si="0"/>
        <v>245.91800000000003</v>
      </c>
    </row>
    <row r="59" spans="1:7" x14ac:dyDescent="0.2">
      <c r="A59" s="7">
        <v>45371</v>
      </c>
      <c r="B59" s="3">
        <v>178.58</v>
      </c>
      <c r="C59" s="3">
        <v>388.35</v>
      </c>
      <c r="D59" s="3">
        <v>215.83</v>
      </c>
      <c r="E59" s="3">
        <v>149.47999999999999</v>
      </c>
      <c r="F59" s="3">
        <v>286.42</v>
      </c>
      <c r="G59" s="8">
        <f t="shared" si="0"/>
        <v>243.73200000000003</v>
      </c>
    </row>
    <row r="60" spans="1:7" x14ac:dyDescent="0.2">
      <c r="A60" s="9">
        <v>45372</v>
      </c>
      <c r="B60" s="5">
        <v>180.42</v>
      </c>
      <c r="C60" s="5">
        <v>398.56</v>
      </c>
      <c r="D60" s="5">
        <v>216.46</v>
      </c>
      <c r="E60" s="5">
        <v>148.93</v>
      </c>
      <c r="F60" s="5">
        <v>289.14999999999998</v>
      </c>
      <c r="G60" s="10">
        <f t="shared" si="0"/>
        <v>246.70400000000001</v>
      </c>
    </row>
    <row r="61" spans="1:7" x14ac:dyDescent="0.2">
      <c r="A61" s="7">
        <v>45373</v>
      </c>
      <c r="B61" s="3">
        <v>183.81</v>
      </c>
      <c r="C61" s="3">
        <v>401.62</v>
      </c>
      <c r="D61" s="3">
        <v>213.78</v>
      </c>
      <c r="E61" s="3">
        <v>147.71</v>
      </c>
      <c r="F61" s="3">
        <v>287.54000000000002</v>
      </c>
      <c r="G61" s="8">
        <f t="shared" si="0"/>
        <v>246.892</v>
      </c>
    </row>
    <row r="62" spans="1:7" x14ac:dyDescent="0.2">
      <c r="A62" s="9">
        <v>45376</v>
      </c>
      <c r="B62" s="5">
        <v>185.07</v>
      </c>
      <c r="C62" s="5">
        <v>391.81</v>
      </c>
      <c r="D62" s="5">
        <v>211.25</v>
      </c>
      <c r="E62" s="5">
        <v>148.11000000000001</v>
      </c>
      <c r="F62" s="5">
        <v>297.26</v>
      </c>
      <c r="G62" s="10">
        <f t="shared" si="0"/>
        <v>246.7</v>
      </c>
    </row>
    <row r="63" spans="1:7" x14ac:dyDescent="0.2">
      <c r="A63" s="7">
        <v>45377</v>
      </c>
      <c r="B63" s="3">
        <v>187.14</v>
      </c>
      <c r="C63" s="3">
        <v>394.74</v>
      </c>
      <c r="D63" s="3">
        <v>212.55</v>
      </c>
      <c r="E63" s="3">
        <v>149.02000000000001</v>
      </c>
      <c r="F63" s="3">
        <v>302.89</v>
      </c>
      <c r="G63" s="8">
        <f t="shared" si="0"/>
        <v>249.26800000000003</v>
      </c>
    </row>
    <row r="64" spans="1:7" x14ac:dyDescent="0.2">
      <c r="A64" s="9">
        <v>45378</v>
      </c>
      <c r="B64" s="5">
        <v>190.67</v>
      </c>
      <c r="C64" s="5">
        <v>392.77</v>
      </c>
      <c r="D64" s="5">
        <v>209.9</v>
      </c>
      <c r="E64" s="5">
        <v>151.19999999999999</v>
      </c>
      <c r="F64" s="5">
        <v>309.20999999999998</v>
      </c>
      <c r="G64" s="10">
        <f t="shared" si="0"/>
        <v>250.75</v>
      </c>
    </row>
    <row r="65" spans="1:7" x14ac:dyDescent="0.2">
      <c r="A65" s="7">
        <v>45379</v>
      </c>
      <c r="B65" s="3">
        <v>190.49</v>
      </c>
      <c r="C65" s="3">
        <v>392.89</v>
      </c>
      <c r="D65" s="3">
        <v>209.86</v>
      </c>
      <c r="E65" s="3">
        <v>150.25</v>
      </c>
      <c r="F65" s="3">
        <v>312.08999999999997</v>
      </c>
      <c r="G65" s="8">
        <f t="shared" si="0"/>
        <v>251.11599999999999</v>
      </c>
    </row>
    <row r="66" spans="1:7" x14ac:dyDescent="0.2">
      <c r="A66" s="9">
        <v>45380</v>
      </c>
      <c r="B66" s="5">
        <v>187.02</v>
      </c>
      <c r="C66" s="5">
        <v>395.39</v>
      </c>
      <c r="D66" s="5">
        <v>213.12</v>
      </c>
      <c r="E66" s="5">
        <v>149.82</v>
      </c>
      <c r="F66" s="5">
        <v>304.8</v>
      </c>
      <c r="G66" s="10">
        <f t="shared" si="0"/>
        <v>250.02999999999997</v>
      </c>
    </row>
    <row r="67" spans="1:7" x14ac:dyDescent="0.2">
      <c r="A67" s="7">
        <v>45383</v>
      </c>
      <c r="B67" s="3">
        <v>185.78</v>
      </c>
      <c r="C67" s="3">
        <v>397.52</v>
      </c>
      <c r="D67" s="3">
        <v>208.69</v>
      </c>
      <c r="E67" s="3">
        <v>149.94</v>
      </c>
      <c r="F67" s="3">
        <v>296.91000000000003</v>
      </c>
      <c r="G67" s="8">
        <f t="shared" ref="G67:G130" si="1">AVERAGE(B67:F67)</f>
        <v>247.76800000000003</v>
      </c>
    </row>
    <row r="68" spans="1:7" x14ac:dyDescent="0.2">
      <c r="A68" s="9">
        <v>45384</v>
      </c>
      <c r="B68" s="5">
        <v>188.14</v>
      </c>
      <c r="C68" s="5">
        <v>387.1</v>
      </c>
      <c r="D68" s="5">
        <v>214.61</v>
      </c>
      <c r="E68" s="5">
        <v>149.54</v>
      </c>
      <c r="F68" s="5">
        <v>284.77</v>
      </c>
      <c r="G68" s="10">
        <f t="shared" si="1"/>
        <v>244.83199999999997</v>
      </c>
    </row>
    <row r="69" spans="1:7" x14ac:dyDescent="0.2">
      <c r="A69" s="7">
        <v>45385</v>
      </c>
      <c r="B69" s="3">
        <v>184.67</v>
      </c>
      <c r="C69" s="3">
        <v>381.39</v>
      </c>
      <c r="D69" s="3">
        <v>219.38</v>
      </c>
      <c r="E69" s="3">
        <v>149.51</v>
      </c>
      <c r="F69" s="3">
        <v>307.81</v>
      </c>
      <c r="G69" s="8">
        <f t="shared" si="1"/>
        <v>248.55199999999999</v>
      </c>
    </row>
    <row r="70" spans="1:7" x14ac:dyDescent="0.2">
      <c r="A70" s="9">
        <v>45386</v>
      </c>
      <c r="B70" s="5">
        <v>184.81</v>
      </c>
      <c r="C70" s="5">
        <v>385.34</v>
      </c>
      <c r="D70" s="5">
        <v>215.65</v>
      </c>
      <c r="E70" s="5">
        <v>147.22</v>
      </c>
      <c r="F70" s="5">
        <v>298.60000000000002</v>
      </c>
      <c r="G70" s="10">
        <f t="shared" si="1"/>
        <v>246.32399999999998</v>
      </c>
    </row>
    <row r="71" spans="1:7" x14ac:dyDescent="0.2">
      <c r="A71" s="7">
        <v>45387</v>
      </c>
      <c r="B71" s="3">
        <v>185.47</v>
      </c>
      <c r="C71" s="3">
        <v>391.97</v>
      </c>
      <c r="D71" s="3">
        <v>211.45</v>
      </c>
      <c r="E71" s="3">
        <v>147.81</v>
      </c>
      <c r="F71" s="3">
        <v>296.94</v>
      </c>
      <c r="G71" s="8">
        <f t="shared" si="1"/>
        <v>246.72800000000001</v>
      </c>
    </row>
    <row r="72" spans="1:7" x14ac:dyDescent="0.2">
      <c r="A72" s="9">
        <v>45390</v>
      </c>
      <c r="B72" s="5">
        <v>184.76</v>
      </c>
      <c r="C72" s="5">
        <v>401.79</v>
      </c>
      <c r="D72" s="5">
        <v>210.67</v>
      </c>
      <c r="E72" s="5">
        <v>146.5</v>
      </c>
      <c r="F72" s="5">
        <v>294.02999999999997</v>
      </c>
      <c r="G72" s="10">
        <f t="shared" si="1"/>
        <v>247.55</v>
      </c>
    </row>
    <row r="73" spans="1:7" x14ac:dyDescent="0.2">
      <c r="A73" s="7">
        <v>45391</v>
      </c>
      <c r="B73" s="3">
        <v>186.55</v>
      </c>
      <c r="C73" s="3">
        <v>411.33</v>
      </c>
      <c r="D73" s="3">
        <v>207.69</v>
      </c>
      <c r="E73" s="3">
        <v>145.13999999999999</v>
      </c>
      <c r="F73" s="3">
        <v>291.8</v>
      </c>
      <c r="G73" s="8">
        <f t="shared" si="1"/>
        <v>248.50200000000001</v>
      </c>
    </row>
    <row r="74" spans="1:7" x14ac:dyDescent="0.2">
      <c r="A74" s="9">
        <v>45392</v>
      </c>
      <c r="B74" s="5">
        <v>188.01</v>
      </c>
      <c r="C74" s="5">
        <v>400.46</v>
      </c>
      <c r="D74" s="5">
        <v>206.99</v>
      </c>
      <c r="E74" s="5">
        <v>142.88</v>
      </c>
      <c r="F74" s="5">
        <v>287.12</v>
      </c>
      <c r="G74" s="10">
        <f t="shared" si="1"/>
        <v>245.09200000000001</v>
      </c>
    </row>
    <row r="75" spans="1:7" x14ac:dyDescent="0.2">
      <c r="A75" s="7">
        <v>45393</v>
      </c>
      <c r="B75" s="3">
        <v>193.74</v>
      </c>
      <c r="C75" s="3">
        <v>404.59</v>
      </c>
      <c r="D75" s="3">
        <v>199.57</v>
      </c>
      <c r="E75" s="3">
        <v>144.58000000000001</v>
      </c>
      <c r="F75" s="3">
        <v>272.19</v>
      </c>
      <c r="G75" s="8">
        <f t="shared" si="1"/>
        <v>242.93399999999997</v>
      </c>
    </row>
    <row r="76" spans="1:7" x14ac:dyDescent="0.2">
      <c r="A76" s="9">
        <v>45394</v>
      </c>
      <c r="B76" s="5">
        <v>195.36</v>
      </c>
      <c r="C76" s="5">
        <v>394.63</v>
      </c>
      <c r="D76" s="5">
        <v>198.99</v>
      </c>
      <c r="E76" s="5">
        <v>144.41999999999999</v>
      </c>
      <c r="F76" s="5">
        <v>264.66000000000003</v>
      </c>
      <c r="G76" s="10">
        <f t="shared" si="1"/>
        <v>239.61199999999999</v>
      </c>
    </row>
    <row r="77" spans="1:7" x14ac:dyDescent="0.2">
      <c r="A77" s="7">
        <v>45397</v>
      </c>
      <c r="B77" s="3">
        <v>193.87</v>
      </c>
      <c r="C77" s="3">
        <v>403.03</v>
      </c>
      <c r="D77" s="3">
        <v>204.07</v>
      </c>
      <c r="E77" s="3">
        <v>146.12</v>
      </c>
      <c r="F77" s="3">
        <v>254.43</v>
      </c>
      <c r="G77" s="8">
        <f t="shared" si="1"/>
        <v>240.304</v>
      </c>
    </row>
    <row r="78" spans="1:7" x14ac:dyDescent="0.2">
      <c r="A78" s="9">
        <v>45398</v>
      </c>
      <c r="B78" s="5">
        <v>192.51</v>
      </c>
      <c r="C78" s="5">
        <v>404.48</v>
      </c>
      <c r="D78" s="5">
        <v>200.94</v>
      </c>
      <c r="E78" s="5">
        <v>146.56</v>
      </c>
      <c r="F78" s="5">
        <v>253.6</v>
      </c>
      <c r="G78" s="10">
        <f t="shared" si="1"/>
        <v>239.61799999999999</v>
      </c>
    </row>
    <row r="79" spans="1:7" x14ac:dyDescent="0.2">
      <c r="A79" s="7">
        <v>45399</v>
      </c>
      <c r="B79" s="3">
        <v>190.49</v>
      </c>
      <c r="C79" s="3">
        <v>398.6</v>
      </c>
      <c r="D79" s="3">
        <v>200.23</v>
      </c>
      <c r="E79" s="3">
        <v>144.11000000000001</v>
      </c>
      <c r="F79" s="3">
        <v>248.82</v>
      </c>
      <c r="G79" s="8">
        <f t="shared" si="1"/>
        <v>236.45</v>
      </c>
    </row>
    <row r="80" spans="1:7" x14ac:dyDescent="0.2">
      <c r="A80" s="9">
        <v>45400</v>
      </c>
      <c r="B80" s="5">
        <v>192.91</v>
      </c>
      <c r="C80" s="5">
        <v>409.13</v>
      </c>
      <c r="D80" s="5">
        <v>196.11</v>
      </c>
      <c r="E80" s="5">
        <v>142.59</v>
      </c>
      <c r="F80" s="5">
        <v>244.11</v>
      </c>
      <c r="G80" s="10">
        <f t="shared" si="1"/>
        <v>236.96999999999997</v>
      </c>
    </row>
    <row r="81" spans="1:7" x14ac:dyDescent="0.2">
      <c r="A81" s="7">
        <v>45401</v>
      </c>
      <c r="B81" s="3">
        <v>191.55</v>
      </c>
      <c r="C81" s="3">
        <v>412.68</v>
      </c>
      <c r="D81" s="3">
        <v>197.92</v>
      </c>
      <c r="E81" s="3">
        <v>143.71</v>
      </c>
      <c r="F81" s="3">
        <v>245.66</v>
      </c>
      <c r="G81" s="8">
        <f t="shared" si="1"/>
        <v>238.304</v>
      </c>
    </row>
    <row r="82" spans="1:7" x14ac:dyDescent="0.2">
      <c r="A82" s="9">
        <v>45404</v>
      </c>
      <c r="B82" s="5">
        <v>191.43</v>
      </c>
      <c r="C82" s="5">
        <v>402.66</v>
      </c>
      <c r="D82" s="5">
        <v>197.36</v>
      </c>
      <c r="E82" s="5">
        <v>142.65</v>
      </c>
      <c r="F82" s="5">
        <v>241.73</v>
      </c>
      <c r="G82" s="10">
        <f t="shared" si="1"/>
        <v>235.166</v>
      </c>
    </row>
    <row r="83" spans="1:7" x14ac:dyDescent="0.2">
      <c r="A83" s="7">
        <v>45405</v>
      </c>
      <c r="B83" s="3">
        <v>193.35</v>
      </c>
      <c r="C83" s="3">
        <v>404.32</v>
      </c>
      <c r="D83" s="3">
        <v>202.78</v>
      </c>
      <c r="E83" s="3">
        <v>141.13999999999999</v>
      </c>
      <c r="F83" s="3">
        <v>248.11</v>
      </c>
      <c r="G83" s="8">
        <f t="shared" si="1"/>
        <v>237.93999999999997</v>
      </c>
    </row>
    <row r="84" spans="1:7" x14ac:dyDescent="0.2">
      <c r="A84" s="9">
        <v>45406</v>
      </c>
      <c r="B84" s="5">
        <v>191.59</v>
      </c>
      <c r="C84" s="5">
        <v>400.6</v>
      </c>
      <c r="D84" s="5">
        <v>203.43</v>
      </c>
      <c r="E84" s="5">
        <v>140.93</v>
      </c>
      <c r="F84" s="5">
        <v>245.5</v>
      </c>
      <c r="G84" s="10">
        <f t="shared" si="1"/>
        <v>236.41000000000003</v>
      </c>
    </row>
    <row r="85" spans="1:7" x14ac:dyDescent="0.2">
      <c r="A85" s="7">
        <v>45407</v>
      </c>
      <c r="B85" s="3">
        <v>190.92</v>
      </c>
      <c r="C85" s="3">
        <v>401.3</v>
      </c>
      <c r="D85" s="3">
        <v>202.43</v>
      </c>
      <c r="E85" s="3">
        <v>140.72</v>
      </c>
      <c r="F85" s="3">
        <v>247.12</v>
      </c>
      <c r="G85" s="8">
        <f t="shared" si="1"/>
        <v>236.49800000000005</v>
      </c>
    </row>
    <row r="86" spans="1:7" x14ac:dyDescent="0.2">
      <c r="A86" s="9">
        <v>45408</v>
      </c>
      <c r="B86" s="5">
        <v>186.41</v>
      </c>
      <c r="C86" s="5">
        <v>398.99</v>
      </c>
      <c r="D86" s="5">
        <v>204.05</v>
      </c>
      <c r="E86" s="5">
        <v>139.34</v>
      </c>
      <c r="F86" s="5">
        <v>238.02</v>
      </c>
      <c r="G86" s="10">
        <f t="shared" si="1"/>
        <v>233.36200000000002</v>
      </c>
    </row>
    <row r="87" spans="1:7" x14ac:dyDescent="0.2">
      <c r="A87" s="7">
        <v>45411</v>
      </c>
      <c r="B87" s="3">
        <v>183.84</v>
      </c>
      <c r="C87" s="3">
        <v>406.23</v>
      </c>
      <c r="D87" s="3">
        <v>202.67</v>
      </c>
      <c r="E87" s="3">
        <v>138.93</v>
      </c>
      <c r="F87" s="3">
        <v>242.47</v>
      </c>
      <c r="G87" s="8">
        <f t="shared" si="1"/>
        <v>234.82800000000003</v>
      </c>
    </row>
    <row r="88" spans="1:7" x14ac:dyDescent="0.2">
      <c r="A88" s="9">
        <v>45412</v>
      </c>
      <c r="B88" s="5">
        <v>182.54</v>
      </c>
      <c r="C88" s="5">
        <v>398.84</v>
      </c>
      <c r="D88" s="5">
        <v>198.93</v>
      </c>
      <c r="E88" s="5">
        <v>138.31</v>
      </c>
      <c r="F88" s="5">
        <v>239.79</v>
      </c>
      <c r="G88" s="10">
        <f t="shared" si="1"/>
        <v>231.68199999999996</v>
      </c>
    </row>
    <row r="89" spans="1:7" x14ac:dyDescent="0.2">
      <c r="A89" s="7">
        <v>45413</v>
      </c>
      <c r="B89" s="3">
        <v>183.58</v>
      </c>
      <c r="C89" s="3">
        <v>400.61</v>
      </c>
      <c r="D89" s="3">
        <v>199.83</v>
      </c>
      <c r="E89" s="3">
        <v>134.77000000000001</v>
      </c>
      <c r="F89" s="3">
        <v>242.61</v>
      </c>
      <c r="G89" s="8">
        <f t="shared" si="1"/>
        <v>232.28000000000003</v>
      </c>
    </row>
    <row r="90" spans="1:7" x14ac:dyDescent="0.2">
      <c r="A90" s="9">
        <v>45414</v>
      </c>
      <c r="B90" s="5">
        <v>186.48</v>
      </c>
      <c r="C90" s="5">
        <v>410.18</v>
      </c>
      <c r="D90" s="5">
        <v>199.4</v>
      </c>
      <c r="E90" s="5">
        <v>135.49</v>
      </c>
      <c r="F90" s="5">
        <v>244.92</v>
      </c>
      <c r="G90" s="10">
        <f t="shared" si="1"/>
        <v>235.29400000000001</v>
      </c>
    </row>
    <row r="91" spans="1:7" x14ac:dyDescent="0.2">
      <c r="A91" s="7">
        <v>45415</v>
      </c>
      <c r="B91" s="3">
        <v>186.49</v>
      </c>
      <c r="C91" s="3">
        <v>405.89</v>
      </c>
      <c r="D91" s="3">
        <v>199.92</v>
      </c>
      <c r="E91" s="3">
        <v>134.43</v>
      </c>
      <c r="F91" s="3">
        <v>243.8</v>
      </c>
      <c r="G91" s="8">
        <f t="shared" si="1"/>
        <v>234.10599999999999</v>
      </c>
    </row>
    <row r="92" spans="1:7" x14ac:dyDescent="0.2">
      <c r="A92" s="9">
        <v>45418</v>
      </c>
      <c r="B92" s="5">
        <v>187.18</v>
      </c>
      <c r="C92" s="5">
        <v>407.12</v>
      </c>
      <c r="D92" s="5">
        <v>201.03</v>
      </c>
      <c r="E92" s="5">
        <v>136.22</v>
      </c>
      <c r="F92" s="5">
        <v>245.36</v>
      </c>
      <c r="G92" s="10">
        <f t="shared" si="1"/>
        <v>235.38199999999998</v>
      </c>
    </row>
    <row r="93" spans="1:7" x14ac:dyDescent="0.2">
      <c r="A93" s="7">
        <v>45419</v>
      </c>
      <c r="B93" s="3">
        <v>187.64</v>
      </c>
      <c r="C93" s="3">
        <v>408.31</v>
      </c>
      <c r="D93" s="3">
        <v>199.65</v>
      </c>
      <c r="E93" s="3">
        <v>134.69</v>
      </c>
      <c r="F93" s="3">
        <v>242.79</v>
      </c>
      <c r="G93" s="8">
        <f t="shared" si="1"/>
        <v>234.61599999999999</v>
      </c>
    </row>
    <row r="94" spans="1:7" x14ac:dyDescent="0.2">
      <c r="A94" s="9">
        <v>45420</v>
      </c>
      <c r="B94" s="5">
        <v>190.34</v>
      </c>
      <c r="C94" s="5">
        <v>404.77</v>
      </c>
      <c r="D94" s="5">
        <v>200.89</v>
      </c>
      <c r="E94" s="5">
        <v>132.6</v>
      </c>
      <c r="F94" s="5">
        <v>252.01</v>
      </c>
      <c r="G94" s="10">
        <f t="shared" si="1"/>
        <v>236.12200000000001</v>
      </c>
    </row>
    <row r="95" spans="1:7" x14ac:dyDescent="0.2">
      <c r="A95" s="7">
        <v>45421</v>
      </c>
      <c r="B95" s="3">
        <v>192.61</v>
      </c>
      <c r="C95" s="3">
        <v>408.3</v>
      </c>
      <c r="D95" s="3">
        <v>205.84</v>
      </c>
      <c r="E95" s="3">
        <v>134.21</v>
      </c>
      <c r="F95" s="3">
        <v>258.68</v>
      </c>
      <c r="G95" s="8">
        <f t="shared" si="1"/>
        <v>239.92800000000003</v>
      </c>
    </row>
    <row r="96" spans="1:7" x14ac:dyDescent="0.2">
      <c r="A96" s="9">
        <v>45422</v>
      </c>
      <c r="B96" s="5">
        <v>193.35</v>
      </c>
      <c r="C96" s="5">
        <v>408.94</v>
      </c>
      <c r="D96" s="5">
        <v>202.71</v>
      </c>
      <c r="E96" s="5">
        <v>132.12</v>
      </c>
      <c r="F96" s="5">
        <v>262.25</v>
      </c>
      <c r="G96" s="10">
        <f t="shared" si="1"/>
        <v>239.87399999999997</v>
      </c>
    </row>
    <row r="97" spans="1:7" x14ac:dyDescent="0.2">
      <c r="A97" s="7">
        <v>45425</v>
      </c>
      <c r="B97" s="3">
        <v>190.87</v>
      </c>
      <c r="C97" s="3">
        <v>404.05</v>
      </c>
      <c r="D97" s="3">
        <v>207.7</v>
      </c>
      <c r="E97" s="3">
        <v>131.32</v>
      </c>
      <c r="F97" s="3">
        <v>253.66</v>
      </c>
      <c r="G97" s="8">
        <f t="shared" si="1"/>
        <v>237.52000000000004</v>
      </c>
    </row>
    <row r="98" spans="1:7" x14ac:dyDescent="0.2">
      <c r="A98" s="9">
        <v>45426</v>
      </c>
      <c r="B98" s="5">
        <v>193.17</v>
      </c>
      <c r="C98" s="5">
        <v>413.43</v>
      </c>
      <c r="D98" s="5">
        <v>207.06</v>
      </c>
      <c r="E98" s="5">
        <v>132.13999999999999</v>
      </c>
      <c r="F98" s="5">
        <v>245.93</v>
      </c>
      <c r="G98" s="10">
        <f t="shared" si="1"/>
        <v>238.346</v>
      </c>
    </row>
    <row r="99" spans="1:7" x14ac:dyDescent="0.2">
      <c r="A99" s="7">
        <v>45427</v>
      </c>
      <c r="B99" s="3">
        <v>194.18</v>
      </c>
      <c r="C99" s="3">
        <v>417.81</v>
      </c>
      <c r="D99" s="3">
        <v>204.9</v>
      </c>
      <c r="E99" s="3">
        <v>131.74</v>
      </c>
      <c r="F99" s="3">
        <v>241.43</v>
      </c>
      <c r="G99" s="8">
        <f t="shared" si="1"/>
        <v>238.012</v>
      </c>
    </row>
    <row r="100" spans="1:7" x14ac:dyDescent="0.2">
      <c r="A100" s="9">
        <v>45428</v>
      </c>
      <c r="B100" s="5">
        <v>197.34</v>
      </c>
      <c r="C100" s="5">
        <v>417.03</v>
      </c>
      <c r="D100" s="5">
        <v>211.92</v>
      </c>
      <c r="E100" s="5">
        <v>129.6</v>
      </c>
      <c r="F100" s="5">
        <v>239.85</v>
      </c>
      <c r="G100" s="10">
        <f t="shared" si="1"/>
        <v>239.148</v>
      </c>
    </row>
    <row r="101" spans="1:7" x14ac:dyDescent="0.2">
      <c r="A101" s="7">
        <v>45429</v>
      </c>
      <c r="B101" s="3">
        <v>197.32</v>
      </c>
      <c r="C101" s="3">
        <v>413.7</v>
      </c>
      <c r="D101" s="3">
        <v>212.44</v>
      </c>
      <c r="E101" s="3">
        <v>129.88</v>
      </c>
      <c r="F101" s="3">
        <v>242.93</v>
      </c>
      <c r="G101" s="8">
        <f t="shared" si="1"/>
        <v>239.25399999999999</v>
      </c>
    </row>
    <row r="102" spans="1:7" x14ac:dyDescent="0.2">
      <c r="A102" s="9">
        <v>45432</v>
      </c>
      <c r="B102" s="5">
        <v>202.39</v>
      </c>
      <c r="C102" s="5">
        <v>409.61</v>
      </c>
      <c r="D102" s="5">
        <v>216.58</v>
      </c>
      <c r="E102" s="5">
        <v>129.66999999999999</v>
      </c>
      <c r="F102" s="5">
        <v>236.9</v>
      </c>
      <c r="G102" s="10">
        <f t="shared" si="1"/>
        <v>239.03000000000003</v>
      </c>
    </row>
    <row r="103" spans="1:7" x14ac:dyDescent="0.2">
      <c r="A103" s="7">
        <v>45433</v>
      </c>
      <c r="B103" s="3">
        <v>201.51</v>
      </c>
      <c r="C103" s="3">
        <v>416.29</v>
      </c>
      <c r="D103" s="3">
        <v>219.12</v>
      </c>
      <c r="E103" s="3">
        <v>131.37</v>
      </c>
      <c r="F103" s="3">
        <v>244.78</v>
      </c>
      <c r="G103" s="8">
        <f t="shared" si="1"/>
        <v>242.61399999999998</v>
      </c>
    </row>
    <row r="104" spans="1:7" x14ac:dyDescent="0.2">
      <c r="A104" s="9">
        <v>45434</v>
      </c>
      <c r="B104" s="5">
        <v>205.74</v>
      </c>
      <c r="C104" s="5">
        <v>415.62</v>
      </c>
      <c r="D104" s="5">
        <v>214.03</v>
      </c>
      <c r="E104" s="5">
        <v>132.18</v>
      </c>
      <c r="F104" s="5">
        <v>244.88</v>
      </c>
      <c r="G104" s="10">
        <f t="shared" si="1"/>
        <v>242.48999999999995</v>
      </c>
    </row>
    <row r="105" spans="1:7" x14ac:dyDescent="0.2">
      <c r="A105" s="7">
        <v>45435</v>
      </c>
      <c r="B105" s="3">
        <v>206.11</v>
      </c>
      <c r="C105" s="3">
        <v>418.23</v>
      </c>
      <c r="D105" s="3">
        <v>214.46</v>
      </c>
      <c r="E105" s="3">
        <v>136.22999999999999</v>
      </c>
      <c r="F105" s="3">
        <v>231.15</v>
      </c>
      <c r="G105" s="8">
        <f t="shared" si="1"/>
        <v>241.23600000000002</v>
      </c>
    </row>
    <row r="106" spans="1:7" x14ac:dyDescent="0.2">
      <c r="A106" s="9">
        <v>45436</v>
      </c>
      <c r="B106" s="5">
        <v>204.79</v>
      </c>
      <c r="C106" s="5">
        <v>417.35</v>
      </c>
      <c r="D106" s="5">
        <v>212.95</v>
      </c>
      <c r="E106" s="5">
        <v>134.03</v>
      </c>
      <c r="F106" s="5">
        <v>228.14</v>
      </c>
      <c r="G106" s="10">
        <f t="shared" si="1"/>
        <v>239.45199999999994</v>
      </c>
    </row>
    <row r="107" spans="1:7" x14ac:dyDescent="0.2">
      <c r="A107" s="7">
        <v>45439</v>
      </c>
      <c r="B107" s="3">
        <v>201.85</v>
      </c>
      <c r="C107" s="3">
        <v>420.82</v>
      </c>
      <c r="D107" s="3">
        <v>209.01</v>
      </c>
      <c r="E107" s="3">
        <v>134.04</v>
      </c>
      <c r="F107" s="3">
        <v>211.69</v>
      </c>
      <c r="G107" s="8">
        <f t="shared" si="1"/>
        <v>235.48199999999997</v>
      </c>
    </row>
    <row r="108" spans="1:7" x14ac:dyDescent="0.2">
      <c r="A108" s="9">
        <v>45440</v>
      </c>
      <c r="B108" s="5">
        <v>201.51</v>
      </c>
      <c r="C108" s="5">
        <v>420.31</v>
      </c>
      <c r="D108" s="5">
        <v>203.89</v>
      </c>
      <c r="E108" s="5">
        <v>132.65</v>
      </c>
      <c r="F108" s="5">
        <v>207.3</v>
      </c>
      <c r="G108" s="10">
        <f t="shared" si="1"/>
        <v>233.13199999999998</v>
      </c>
    </row>
    <row r="109" spans="1:7" x14ac:dyDescent="0.2">
      <c r="A109" s="7">
        <v>45441</v>
      </c>
      <c r="B109" s="3">
        <v>205.3</v>
      </c>
      <c r="C109" s="3">
        <v>424.61</v>
      </c>
      <c r="D109" s="3">
        <v>204.24</v>
      </c>
      <c r="E109" s="3">
        <v>134.22</v>
      </c>
      <c r="F109" s="3">
        <v>204.17</v>
      </c>
      <c r="G109" s="8">
        <f t="shared" si="1"/>
        <v>234.50800000000004</v>
      </c>
    </row>
    <row r="110" spans="1:7" x14ac:dyDescent="0.2">
      <c r="A110" s="9">
        <v>45442</v>
      </c>
      <c r="B110" s="5">
        <v>207.54</v>
      </c>
      <c r="C110" s="5">
        <v>423.73</v>
      </c>
      <c r="D110" s="5">
        <v>205.99</v>
      </c>
      <c r="E110" s="5">
        <v>135.36000000000001</v>
      </c>
      <c r="F110" s="5">
        <v>200.74</v>
      </c>
      <c r="G110" s="10">
        <f t="shared" si="1"/>
        <v>234.67200000000003</v>
      </c>
    </row>
    <row r="111" spans="1:7" x14ac:dyDescent="0.2">
      <c r="A111" s="7">
        <v>45443</v>
      </c>
      <c r="B111" s="3">
        <v>209.46</v>
      </c>
      <c r="C111" s="3">
        <v>428.43</v>
      </c>
      <c r="D111" s="3">
        <v>207.18</v>
      </c>
      <c r="E111" s="3">
        <v>136.41999999999999</v>
      </c>
      <c r="F111" s="3">
        <v>198.97</v>
      </c>
      <c r="G111" s="8">
        <f t="shared" si="1"/>
        <v>236.09199999999996</v>
      </c>
    </row>
    <row r="112" spans="1:7" x14ac:dyDescent="0.2">
      <c r="A112" s="9">
        <v>45446</v>
      </c>
      <c r="B112" s="5">
        <v>203.05</v>
      </c>
      <c r="C112" s="5">
        <v>432.3</v>
      </c>
      <c r="D112" s="5">
        <v>206.36</v>
      </c>
      <c r="E112" s="5">
        <v>135.4</v>
      </c>
      <c r="F112" s="5">
        <v>196.83</v>
      </c>
      <c r="G112" s="10">
        <f t="shared" si="1"/>
        <v>234.78800000000001</v>
      </c>
    </row>
    <row r="113" spans="1:7" x14ac:dyDescent="0.2">
      <c r="A113" s="7">
        <v>45447</v>
      </c>
      <c r="B113" s="3">
        <v>204.99</v>
      </c>
      <c r="C113" s="3">
        <v>431.77</v>
      </c>
      <c r="D113" s="3">
        <v>204.11</v>
      </c>
      <c r="E113" s="3">
        <v>134.43</v>
      </c>
      <c r="F113" s="3">
        <v>193.62</v>
      </c>
      <c r="G113" s="8">
        <f t="shared" si="1"/>
        <v>233.78400000000002</v>
      </c>
    </row>
    <row r="114" spans="1:7" x14ac:dyDescent="0.2">
      <c r="A114" s="9">
        <v>45448</v>
      </c>
      <c r="B114" s="5">
        <v>206.53</v>
      </c>
      <c r="C114" s="5">
        <v>427.07</v>
      </c>
      <c r="D114" s="5">
        <v>201.35</v>
      </c>
      <c r="E114" s="5">
        <v>131.74</v>
      </c>
      <c r="F114" s="5">
        <v>201.82</v>
      </c>
      <c r="G114" s="10">
        <f t="shared" si="1"/>
        <v>233.702</v>
      </c>
    </row>
    <row r="115" spans="1:7" x14ac:dyDescent="0.2">
      <c r="A115" s="7">
        <v>45449</v>
      </c>
      <c r="B115" s="3">
        <v>205.12</v>
      </c>
      <c r="C115" s="3">
        <v>421.98</v>
      </c>
      <c r="D115" s="3">
        <v>199.85</v>
      </c>
      <c r="E115" s="3">
        <v>134.03</v>
      </c>
      <c r="F115" s="3">
        <v>208.75</v>
      </c>
      <c r="G115" s="8">
        <f t="shared" si="1"/>
        <v>233.946</v>
      </c>
    </row>
    <row r="116" spans="1:7" x14ac:dyDescent="0.2">
      <c r="A116" s="9">
        <v>45450</v>
      </c>
      <c r="B116" s="5">
        <v>203.51</v>
      </c>
      <c r="C116" s="5">
        <v>418.04</v>
      </c>
      <c r="D116" s="5">
        <v>197.02</v>
      </c>
      <c r="E116" s="5">
        <v>134.75</v>
      </c>
      <c r="F116" s="5">
        <v>202.14</v>
      </c>
      <c r="G116" s="10">
        <f t="shared" si="1"/>
        <v>231.09200000000001</v>
      </c>
    </row>
    <row r="117" spans="1:7" x14ac:dyDescent="0.2">
      <c r="A117" s="7">
        <v>45453</v>
      </c>
      <c r="B117" s="3">
        <v>203.56</v>
      </c>
      <c r="C117" s="3">
        <v>412.82</v>
      </c>
      <c r="D117" s="3">
        <v>196.52</v>
      </c>
      <c r="E117" s="3">
        <v>134.44</v>
      </c>
      <c r="F117" s="3">
        <v>209.3</v>
      </c>
      <c r="G117" s="8">
        <f t="shared" si="1"/>
        <v>231.32799999999997</v>
      </c>
    </row>
    <row r="118" spans="1:7" x14ac:dyDescent="0.2">
      <c r="A118" s="9">
        <v>45454</v>
      </c>
      <c r="B118" s="5">
        <v>208.19</v>
      </c>
      <c r="C118" s="5">
        <v>417.59</v>
      </c>
      <c r="D118" s="5">
        <v>196.52</v>
      </c>
      <c r="E118" s="5">
        <v>135.74</v>
      </c>
      <c r="F118" s="5">
        <v>199.86</v>
      </c>
      <c r="G118" s="10">
        <f t="shared" si="1"/>
        <v>231.58</v>
      </c>
    </row>
    <row r="119" spans="1:7" x14ac:dyDescent="0.2">
      <c r="A119" s="7">
        <v>45455</v>
      </c>
      <c r="B119" s="3">
        <v>205.4</v>
      </c>
      <c r="C119" s="3">
        <v>417.46</v>
      </c>
      <c r="D119" s="3">
        <v>194.11</v>
      </c>
      <c r="E119" s="3">
        <v>136.80000000000001</v>
      </c>
      <c r="F119" s="3">
        <v>195.36</v>
      </c>
      <c r="G119" s="8">
        <f t="shared" si="1"/>
        <v>229.82600000000002</v>
      </c>
    </row>
    <row r="120" spans="1:7" x14ac:dyDescent="0.2">
      <c r="A120" s="9">
        <v>45456</v>
      </c>
      <c r="B120" s="5">
        <v>204.32</v>
      </c>
      <c r="C120" s="5">
        <v>426.11</v>
      </c>
      <c r="D120" s="5">
        <v>193.54</v>
      </c>
      <c r="E120" s="5">
        <v>138.18</v>
      </c>
      <c r="F120" s="5">
        <v>203.76</v>
      </c>
      <c r="G120" s="10">
        <f t="shared" si="1"/>
        <v>233.18200000000002</v>
      </c>
    </row>
    <row r="121" spans="1:7" x14ac:dyDescent="0.2">
      <c r="A121" s="7">
        <v>45457</v>
      </c>
      <c r="B121" s="3">
        <v>208</v>
      </c>
      <c r="C121" s="3">
        <v>438.86</v>
      </c>
      <c r="D121" s="3">
        <v>191.54</v>
      </c>
      <c r="E121" s="3">
        <v>135.97999999999999</v>
      </c>
      <c r="F121" s="3">
        <v>191.04</v>
      </c>
      <c r="G121" s="8">
        <f t="shared" si="1"/>
        <v>233.084</v>
      </c>
    </row>
    <row r="122" spans="1:7" x14ac:dyDescent="0.2">
      <c r="A122" s="9">
        <v>45460</v>
      </c>
      <c r="B122" s="5">
        <v>206.86</v>
      </c>
      <c r="C122" s="5">
        <v>439.13</v>
      </c>
      <c r="D122" s="5">
        <v>191.59</v>
      </c>
      <c r="E122" s="5">
        <v>135.05000000000001</v>
      </c>
      <c r="F122" s="5">
        <v>194.17</v>
      </c>
      <c r="G122" s="10">
        <f t="shared" si="1"/>
        <v>233.36000000000004</v>
      </c>
    </row>
    <row r="123" spans="1:7" x14ac:dyDescent="0.2">
      <c r="A123" s="7">
        <v>45461</v>
      </c>
      <c r="B123" s="3">
        <v>205.94</v>
      </c>
      <c r="C123" s="3">
        <v>430.42</v>
      </c>
      <c r="D123" s="3">
        <v>193.01</v>
      </c>
      <c r="E123" s="3">
        <v>135.35</v>
      </c>
      <c r="F123" s="3">
        <v>187.41</v>
      </c>
      <c r="G123" s="8">
        <f t="shared" si="1"/>
        <v>230.42600000000002</v>
      </c>
    </row>
    <row r="124" spans="1:7" x14ac:dyDescent="0.2">
      <c r="A124" s="9">
        <v>45462</v>
      </c>
      <c r="B124" s="5">
        <v>206.26</v>
      </c>
      <c r="C124" s="5">
        <v>428.41</v>
      </c>
      <c r="D124" s="5">
        <v>193.55</v>
      </c>
      <c r="E124" s="5">
        <v>135.87</v>
      </c>
      <c r="F124" s="5">
        <v>186.71</v>
      </c>
      <c r="G124" s="10">
        <f t="shared" si="1"/>
        <v>230.16</v>
      </c>
    </row>
    <row r="125" spans="1:7" x14ac:dyDescent="0.2">
      <c r="A125" s="7">
        <v>45463</v>
      </c>
      <c r="B125" s="3">
        <v>202.99</v>
      </c>
      <c r="C125" s="3">
        <v>428.12</v>
      </c>
      <c r="D125" s="3">
        <v>194.89</v>
      </c>
      <c r="E125" s="3">
        <v>137.21</v>
      </c>
      <c r="F125" s="3">
        <v>185.82</v>
      </c>
      <c r="G125" s="8">
        <f t="shared" si="1"/>
        <v>229.80599999999998</v>
      </c>
    </row>
    <row r="126" spans="1:7" x14ac:dyDescent="0.2">
      <c r="A126" s="9">
        <v>45464</v>
      </c>
      <c r="B126" s="5">
        <v>203.63</v>
      </c>
      <c r="C126" s="5">
        <v>419.96</v>
      </c>
      <c r="D126" s="5">
        <v>190.44</v>
      </c>
      <c r="E126" s="5">
        <v>135.87</v>
      </c>
      <c r="F126" s="5">
        <v>194.71</v>
      </c>
      <c r="G126" s="10">
        <f t="shared" si="1"/>
        <v>228.92199999999997</v>
      </c>
    </row>
    <row r="127" spans="1:7" x14ac:dyDescent="0.2">
      <c r="A127" s="7">
        <v>45467</v>
      </c>
      <c r="B127" s="3">
        <v>200.49</v>
      </c>
      <c r="C127" s="3">
        <v>418.72</v>
      </c>
      <c r="D127" s="3">
        <v>189.49</v>
      </c>
      <c r="E127" s="3">
        <v>136.08000000000001</v>
      </c>
      <c r="F127" s="3">
        <v>190.35</v>
      </c>
      <c r="G127" s="8">
        <f t="shared" si="1"/>
        <v>227.02600000000001</v>
      </c>
    </row>
    <row r="128" spans="1:7" x14ac:dyDescent="0.2">
      <c r="A128" s="9">
        <v>45468</v>
      </c>
      <c r="B128" s="5">
        <v>202.86</v>
      </c>
      <c r="C128" s="5">
        <v>420.41</v>
      </c>
      <c r="D128" s="5">
        <v>190.28</v>
      </c>
      <c r="E128" s="5">
        <v>139.12</v>
      </c>
      <c r="F128" s="5">
        <v>190.04</v>
      </c>
      <c r="G128" s="10">
        <f t="shared" si="1"/>
        <v>228.542</v>
      </c>
    </row>
    <row r="129" spans="1:7" x14ac:dyDescent="0.2">
      <c r="A129" s="7">
        <v>45469</v>
      </c>
      <c r="B129" s="3">
        <v>202.93</v>
      </c>
      <c r="C129" s="3">
        <v>418.03</v>
      </c>
      <c r="D129" s="3">
        <v>192.05</v>
      </c>
      <c r="E129" s="3">
        <v>140.12</v>
      </c>
      <c r="F129" s="3">
        <v>193.43</v>
      </c>
      <c r="G129" s="8">
        <f t="shared" si="1"/>
        <v>229.31199999999998</v>
      </c>
    </row>
    <row r="130" spans="1:7" x14ac:dyDescent="0.2">
      <c r="A130" s="9">
        <v>45470</v>
      </c>
      <c r="B130" s="5">
        <v>209.01</v>
      </c>
      <c r="C130" s="5">
        <v>413.98</v>
      </c>
      <c r="D130" s="5">
        <v>187.81</v>
      </c>
      <c r="E130" s="5">
        <v>141.38</v>
      </c>
      <c r="F130" s="5">
        <v>192.12</v>
      </c>
      <c r="G130" s="10">
        <f t="shared" si="1"/>
        <v>228.85999999999999</v>
      </c>
    </row>
    <row r="131" spans="1:7" x14ac:dyDescent="0.2">
      <c r="A131" s="7">
        <v>45471</v>
      </c>
      <c r="B131" s="3">
        <v>209.84</v>
      </c>
      <c r="C131" s="3">
        <v>410.02</v>
      </c>
      <c r="D131" s="3">
        <v>188.28</v>
      </c>
      <c r="E131" s="3">
        <v>141.4</v>
      </c>
      <c r="F131" s="3">
        <v>187.76</v>
      </c>
      <c r="G131" s="8">
        <f t="shared" ref="G131:G194" si="2">AVERAGE(B131:F131)</f>
        <v>227.45999999999998</v>
      </c>
    </row>
    <row r="132" spans="1:7" x14ac:dyDescent="0.2">
      <c r="A132" s="9">
        <v>45474</v>
      </c>
      <c r="B132" s="5">
        <v>213.63</v>
      </c>
      <c r="C132" s="5">
        <v>419.67</v>
      </c>
      <c r="D132" s="5">
        <v>191.52</v>
      </c>
      <c r="E132" s="5">
        <v>142.53</v>
      </c>
      <c r="F132" s="5">
        <v>187.51</v>
      </c>
      <c r="G132" s="10">
        <f t="shared" si="2"/>
        <v>230.97199999999998</v>
      </c>
    </row>
    <row r="133" spans="1:7" x14ac:dyDescent="0.2">
      <c r="A133" s="7">
        <v>45475</v>
      </c>
      <c r="B133" s="3">
        <v>210.07</v>
      </c>
      <c r="C133" s="3">
        <v>418.92</v>
      </c>
      <c r="D133" s="3">
        <v>191.1</v>
      </c>
      <c r="E133" s="3">
        <v>145.13999999999999</v>
      </c>
      <c r="F133" s="3">
        <v>188.06</v>
      </c>
      <c r="G133" s="8">
        <f t="shared" si="2"/>
        <v>230.65799999999999</v>
      </c>
    </row>
    <row r="134" spans="1:7" x14ac:dyDescent="0.2">
      <c r="A134" s="9">
        <v>45476</v>
      </c>
      <c r="B134" s="5">
        <v>209.8</v>
      </c>
      <c r="C134" s="5">
        <v>414.53</v>
      </c>
      <c r="D134" s="5">
        <v>190.9</v>
      </c>
      <c r="E134" s="5">
        <v>145.34</v>
      </c>
      <c r="F134" s="5">
        <v>192.77</v>
      </c>
      <c r="G134" s="10">
        <f t="shared" si="2"/>
        <v>230.66799999999998</v>
      </c>
    </row>
    <row r="135" spans="1:7" x14ac:dyDescent="0.2">
      <c r="A135" s="7">
        <v>45477</v>
      </c>
      <c r="B135" s="3">
        <v>210.74</v>
      </c>
      <c r="C135" s="3">
        <v>412.64</v>
      </c>
      <c r="D135" s="3">
        <v>192.16</v>
      </c>
      <c r="E135" s="3">
        <v>147.16</v>
      </c>
      <c r="F135" s="3">
        <v>187.74</v>
      </c>
      <c r="G135" s="8">
        <f t="shared" si="2"/>
        <v>230.08800000000002</v>
      </c>
    </row>
    <row r="136" spans="1:7" x14ac:dyDescent="0.2">
      <c r="A136" s="9">
        <v>45478</v>
      </c>
      <c r="B136" s="5">
        <v>215.59</v>
      </c>
      <c r="C136" s="5">
        <v>417.88</v>
      </c>
      <c r="D136" s="5">
        <v>192.88</v>
      </c>
      <c r="E136" s="5">
        <v>145.91999999999999</v>
      </c>
      <c r="F136" s="5">
        <v>185.44</v>
      </c>
      <c r="G136" s="10">
        <f t="shared" si="2"/>
        <v>231.542</v>
      </c>
    </row>
    <row r="137" spans="1:7" x14ac:dyDescent="0.2">
      <c r="A137" s="7">
        <v>45481</v>
      </c>
      <c r="B137" s="3">
        <v>210.94</v>
      </c>
      <c r="C137" s="3">
        <v>414.29</v>
      </c>
      <c r="D137" s="3">
        <v>194.76</v>
      </c>
      <c r="E137" s="3">
        <v>146.82</v>
      </c>
      <c r="F137" s="3">
        <v>187.17</v>
      </c>
      <c r="G137" s="8">
        <f t="shared" si="2"/>
        <v>230.79599999999999</v>
      </c>
    </row>
    <row r="138" spans="1:7" x14ac:dyDescent="0.2">
      <c r="A138" s="9">
        <v>45482</v>
      </c>
      <c r="B138" s="5">
        <v>213.72</v>
      </c>
      <c r="C138" s="5">
        <v>417.01</v>
      </c>
      <c r="D138" s="5">
        <v>195.02</v>
      </c>
      <c r="E138" s="5">
        <v>148.19</v>
      </c>
      <c r="F138" s="5">
        <v>186.35</v>
      </c>
      <c r="G138" s="10">
        <f t="shared" si="2"/>
        <v>232.05799999999999</v>
      </c>
    </row>
    <row r="139" spans="1:7" x14ac:dyDescent="0.2">
      <c r="A139" s="7">
        <v>45483</v>
      </c>
      <c r="B139" s="3">
        <v>215.43</v>
      </c>
      <c r="C139" s="3">
        <v>421.08</v>
      </c>
      <c r="D139" s="3">
        <v>195.49</v>
      </c>
      <c r="E139" s="3">
        <v>147.12</v>
      </c>
      <c r="F139" s="3">
        <v>185.44</v>
      </c>
      <c r="G139" s="8">
        <f t="shared" si="2"/>
        <v>232.91199999999998</v>
      </c>
    </row>
    <row r="140" spans="1:7" x14ac:dyDescent="0.2">
      <c r="A140" s="9">
        <v>45484</v>
      </c>
      <c r="B140" s="5">
        <v>219.79</v>
      </c>
      <c r="C140" s="5">
        <v>425.31</v>
      </c>
      <c r="D140" s="5">
        <v>193.41</v>
      </c>
      <c r="E140" s="5">
        <v>148.78</v>
      </c>
      <c r="F140" s="5">
        <v>185.41</v>
      </c>
      <c r="G140" s="10">
        <f t="shared" si="2"/>
        <v>234.54000000000002</v>
      </c>
    </row>
    <row r="141" spans="1:7" x14ac:dyDescent="0.2">
      <c r="A141" s="7">
        <v>45485</v>
      </c>
      <c r="B141" s="3">
        <v>221.89</v>
      </c>
      <c r="C141" s="3">
        <v>433.18</v>
      </c>
      <c r="D141" s="3">
        <v>193.01</v>
      </c>
      <c r="E141" s="3">
        <v>147.82</v>
      </c>
      <c r="F141" s="3">
        <v>181.85</v>
      </c>
      <c r="G141" s="8">
        <f t="shared" si="2"/>
        <v>235.54999999999995</v>
      </c>
    </row>
    <row r="142" spans="1:7" x14ac:dyDescent="0.2">
      <c r="A142" s="9">
        <v>45488</v>
      </c>
      <c r="B142" s="5">
        <v>222.11</v>
      </c>
      <c r="C142" s="5">
        <v>430.21</v>
      </c>
      <c r="D142" s="5">
        <v>196.45</v>
      </c>
      <c r="E142" s="5">
        <v>146.66999999999999</v>
      </c>
      <c r="F142" s="5">
        <v>177.83</v>
      </c>
      <c r="G142" s="10">
        <f t="shared" si="2"/>
        <v>234.654</v>
      </c>
    </row>
    <row r="143" spans="1:7" x14ac:dyDescent="0.2">
      <c r="A143" s="7">
        <v>45489</v>
      </c>
      <c r="B143" s="3">
        <v>220.67</v>
      </c>
      <c r="C143" s="3">
        <v>436.67</v>
      </c>
      <c r="D143" s="3">
        <v>195.95</v>
      </c>
      <c r="E143" s="3">
        <v>146.71</v>
      </c>
      <c r="F143" s="3">
        <v>180.08</v>
      </c>
      <c r="G143" s="8">
        <f t="shared" si="2"/>
        <v>236.01599999999999</v>
      </c>
    </row>
    <row r="144" spans="1:7" x14ac:dyDescent="0.2">
      <c r="A144" s="9">
        <v>45490</v>
      </c>
      <c r="B144" s="5">
        <v>217.16</v>
      </c>
      <c r="C144" s="5">
        <v>432.3</v>
      </c>
      <c r="D144" s="5">
        <v>195.55</v>
      </c>
      <c r="E144" s="5">
        <v>149.59</v>
      </c>
      <c r="F144" s="5">
        <v>174.61</v>
      </c>
      <c r="G144" s="10">
        <f t="shared" si="2"/>
        <v>233.84200000000001</v>
      </c>
    </row>
    <row r="145" spans="1:7" x14ac:dyDescent="0.2">
      <c r="A145" s="7">
        <v>45491</v>
      </c>
      <c r="B145" s="3">
        <v>217.78</v>
      </c>
      <c r="C145" s="3">
        <v>430.2</v>
      </c>
      <c r="D145" s="3">
        <v>194.26</v>
      </c>
      <c r="E145" s="3">
        <v>150.1</v>
      </c>
      <c r="F145" s="3">
        <v>180.36</v>
      </c>
      <c r="G145" s="8">
        <f t="shared" si="2"/>
        <v>234.54000000000002</v>
      </c>
    </row>
    <row r="146" spans="1:7" x14ac:dyDescent="0.2">
      <c r="A146" s="9">
        <v>45492</v>
      </c>
      <c r="B146" s="5">
        <v>217.3</v>
      </c>
      <c r="C146" s="5">
        <v>437.02</v>
      </c>
      <c r="D146" s="5">
        <v>196.46</v>
      </c>
      <c r="E146" s="5">
        <v>151.55000000000001</v>
      </c>
      <c r="F146" s="5">
        <v>181.51</v>
      </c>
      <c r="G146" s="10">
        <f t="shared" si="2"/>
        <v>236.76799999999997</v>
      </c>
    </row>
    <row r="147" spans="1:7" x14ac:dyDescent="0.2">
      <c r="A147" s="7">
        <v>45495</v>
      </c>
      <c r="B147" s="3">
        <v>223.07</v>
      </c>
      <c r="C147" s="3">
        <v>441.82</v>
      </c>
      <c r="D147" s="3">
        <v>194.17</v>
      </c>
      <c r="E147" s="3">
        <v>150.49</v>
      </c>
      <c r="F147" s="3">
        <v>175.08</v>
      </c>
      <c r="G147" s="8">
        <f t="shared" si="2"/>
        <v>236.92599999999999</v>
      </c>
    </row>
    <row r="148" spans="1:7" x14ac:dyDescent="0.2">
      <c r="A148" s="9">
        <v>45496</v>
      </c>
      <c r="B148" s="5">
        <v>221.37</v>
      </c>
      <c r="C148" s="5">
        <v>441.96</v>
      </c>
      <c r="D148" s="5">
        <v>196.7</v>
      </c>
      <c r="E148" s="5">
        <v>150.65</v>
      </c>
      <c r="F148" s="5">
        <v>176.52</v>
      </c>
      <c r="G148" s="10">
        <f t="shared" si="2"/>
        <v>237.44</v>
      </c>
    </row>
    <row r="149" spans="1:7" x14ac:dyDescent="0.2">
      <c r="A149" s="7">
        <v>45497</v>
      </c>
      <c r="B149" s="3">
        <v>222.36</v>
      </c>
      <c r="C149" s="3">
        <v>435.25</v>
      </c>
      <c r="D149" s="3">
        <v>194.18</v>
      </c>
      <c r="E149" s="3">
        <v>148.91999999999999</v>
      </c>
      <c r="F149" s="3">
        <v>177.4</v>
      </c>
      <c r="G149" s="8">
        <f t="shared" si="2"/>
        <v>235.62199999999999</v>
      </c>
    </row>
    <row r="150" spans="1:7" x14ac:dyDescent="0.2">
      <c r="A150" s="9">
        <v>45498</v>
      </c>
      <c r="B150" s="5">
        <v>217.89</v>
      </c>
      <c r="C150" s="5">
        <v>438.56</v>
      </c>
      <c r="D150" s="5">
        <v>191.36</v>
      </c>
      <c r="E150" s="5">
        <v>148.11000000000001</v>
      </c>
      <c r="F150" s="5">
        <v>181.24</v>
      </c>
      <c r="G150" s="10">
        <f t="shared" si="2"/>
        <v>235.43200000000002</v>
      </c>
    </row>
    <row r="151" spans="1:7" x14ac:dyDescent="0.2">
      <c r="A151" s="7">
        <v>45499</v>
      </c>
      <c r="B151" s="3">
        <v>216.84</v>
      </c>
      <c r="C151" s="3">
        <v>435.1</v>
      </c>
      <c r="D151" s="3">
        <v>191.97</v>
      </c>
      <c r="E151" s="3">
        <v>149.38999999999999</v>
      </c>
      <c r="F151" s="3">
        <v>187.18</v>
      </c>
      <c r="G151" s="8">
        <f t="shared" si="2"/>
        <v>236.096</v>
      </c>
    </row>
    <row r="152" spans="1:7" x14ac:dyDescent="0.2">
      <c r="A152" s="9">
        <v>45502</v>
      </c>
      <c r="B152" s="5">
        <v>217.64</v>
      </c>
      <c r="C152" s="5">
        <v>430</v>
      </c>
      <c r="D152" s="5">
        <v>192.38</v>
      </c>
      <c r="E152" s="5">
        <v>149.38</v>
      </c>
      <c r="F152" s="5">
        <v>185.32</v>
      </c>
      <c r="G152" s="10">
        <f t="shared" si="2"/>
        <v>234.94400000000002</v>
      </c>
    </row>
    <row r="153" spans="1:7" x14ac:dyDescent="0.2">
      <c r="A153" s="7">
        <v>45503</v>
      </c>
      <c r="B153" s="3">
        <v>220.04</v>
      </c>
      <c r="C153" s="3">
        <v>426.51</v>
      </c>
      <c r="D153" s="3">
        <v>193.24</v>
      </c>
      <c r="E153" s="3">
        <v>151.59</v>
      </c>
      <c r="F153" s="3">
        <v>181.7</v>
      </c>
      <c r="G153" s="8">
        <f t="shared" si="2"/>
        <v>234.61599999999999</v>
      </c>
    </row>
    <row r="154" spans="1:7" x14ac:dyDescent="0.2">
      <c r="A154" s="9">
        <v>45504</v>
      </c>
      <c r="B154" s="5">
        <v>224.25</v>
      </c>
      <c r="C154" s="5">
        <v>428</v>
      </c>
      <c r="D154" s="5">
        <v>196.17</v>
      </c>
      <c r="E154" s="5">
        <v>151.33000000000001</v>
      </c>
      <c r="F154" s="5">
        <v>178.67</v>
      </c>
      <c r="G154" s="10">
        <f t="shared" si="2"/>
        <v>235.68400000000003</v>
      </c>
    </row>
    <row r="155" spans="1:7" x14ac:dyDescent="0.2">
      <c r="A155" s="7">
        <v>45505</v>
      </c>
      <c r="B155" s="3">
        <v>224.19</v>
      </c>
      <c r="C155" s="3">
        <v>416.33</v>
      </c>
      <c r="D155" s="3">
        <v>195.1</v>
      </c>
      <c r="E155" s="3">
        <v>151.08000000000001</v>
      </c>
      <c r="F155" s="3">
        <v>173.82</v>
      </c>
      <c r="G155" s="8">
        <f t="shared" si="2"/>
        <v>232.10399999999998</v>
      </c>
    </row>
    <row r="156" spans="1:7" x14ac:dyDescent="0.2">
      <c r="A156" s="9">
        <v>45506</v>
      </c>
      <c r="B156" s="5">
        <v>221</v>
      </c>
      <c r="C156" s="5">
        <v>418.41</v>
      </c>
      <c r="D156" s="5">
        <v>196.37</v>
      </c>
      <c r="E156" s="5">
        <v>153.05000000000001</v>
      </c>
      <c r="F156" s="5">
        <v>170.24</v>
      </c>
      <c r="G156" s="10">
        <f t="shared" si="2"/>
        <v>231.81400000000002</v>
      </c>
    </row>
    <row r="157" spans="1:7" x14ac:dyDescent="0.2">
      <c r="A157" s="7">
        <v>45509</v>
      </c>
      <c r="B157" s="3">
        <v>222.38</v>
      </c>
      <c r="C157" s="3">
        <v>419.48</v>
      </c>
      <c r="D157" s="3">
        <v>193.93</v>
      </c>
      <c r="E157" s="3">
        <v>152.1</v>
      </c>
      <c r="F157" s="3">
        <v>171.65</v>
      </c>
      <c r="G157" s="8">
        <f t="shared" si="2"/>
        <v>231.90799999999999</v>
      </c>
    </row>
    <row r="158" spans="1:7" x14ac:dyDescent="0.2">
      <c r="A158" s="9">
        <v>45510</v>
      </c>
      <c r="B158" s="5">
        <v>223.94</v>
      </c>
      <c r="C158" s="5">
        <v>416.42</v>
      </c>
      <c r="D158" s="5">
        <v>197.41</v>
      </c>
      <c r="E158" s="5">
        <v>149.83000000000001</v>
      </c>
      <c r="F158" s="5">
        <v>171.77</v>
      </c>
      <c r="G158" s="10">
        <f t="shared" si="2"/>
        <v>231.87400000000002</v>
      </c>
    </row>
    <row r="159" spans="1:7" x14ac:dyDescent="0.2">
      <c r="A159" s="7">
        <v>45511</v>
      </c>
      <c r="B159" s="3">
        <v>225.44</v>
      </c>
      <c r="C159" s="3">
        <v>422.16</v>
      </c>
      <c r="D159" s="3">
        <v>199.22</v>
      </c>
      <c r="E159" s="3">
        <v>151.82</v>
      </c>
      <c r="F159" s="3">
        <v>169.46</v>
      </c>
      <c r="G159" s="8">
        <f t="shared" si="2"/>
        <v>233.62000000000003</v>
      </c>
    </row>
    <row r="160" spans="1:7" x14ac:dyDescent="0.2">
      <c r="A160" s="9">
        <v>45512</v>
      </c>
      <c r="B160" s="5">
        <v>223.46</v>
      </c>
      <c r="C160" s="5">
        <v>425.64</v>
      </c>
      <c r="D160" s="5">
        <v>200.78</v>
      </c>
      <c r="E160" s="5">
        <v>152.49</v>
      </c>
      <c r="F160" s="5">
        <v>166.01</v>
      </c>
      <c r="G160" s="10">
        <f t="shared" si="2"/>
        <v>233.67600000000002</v>
      </c>
    </row>
    <row r="161" spans="1:7" x14ac:dyDescent="0.2">
      <c r="A161" s="7">
        <v>45513</v>
      </c>
      <c r="B161" s="3">
        <v>226.82</v>
      </c>
      <c r="C161" s="3">
        <v>422.41</v>
      </c>
      <c r="D161" s="3">
        <v>201.37</v>
      </c>
      <c r="E161" s="3">
        <v>149.22999999999999</v>
      </c>
      <c r="F161" s="3">
        <v>167.68</v>
      </c>
      <c r="G161" s="8">
        <f t="shared" si="2"/>
        <v>233.50200000000001</v>
      </c>
    </row>
    <row r="162" spans="1:7" x14ac:dyDescent="0.2">
      <c r="A162" s="9">
        <v>45516</v>
      </c>
      <c r="B162" s="5">
        <v>227.15</v>
      </c>
      <c r="C162" s="5">
        <v>418.86</v>
      </c>
      <c r="D162" s="5">
        <v>199.22</v>
      </c>
      <c r="E162" s="5">
        <v>149.34</v>
      </c>
      <c r="F162" s="5">
        <v>165.38</v>
      </c>
      <c r="G162" s="10">
        <f t="shared" si="2"/>
        <v>231.99</v>
      </c>
    </row>
    <row r="163" spans="1:7" x14ac:dyDescent="0.2">
      <c r="A163" s="7">
        <v>45517</v>
      </c>
      <c r="B163" s="3">
        <v>229.28</v>
      </c>
      <c r="C163" s="3">
        <v>422.77</v>
      </c>
      <c r="D163" s="3">
        <v>198.37</v>
      </c>
      <c r="E163" s="3">
        <v>148.78</v>
      </c>
      <c r="F163" s="3">
        <v>160.61000000000001</v>
      </c>
      <c r="G163" s="8">
        <f t="shared" si="2"/>
        <v>231.96199999999999</v>
      </c>
    </row>
    <row r="164" spans="1:7" x14ac:dyDescent="0.2">
      <c r="A164" s="9">
        <v>45518</v>
      </c>
      <c r="B164" s="5">
        <v>233.15</v>
      </c>
      <c r="C164" s="5">
        <v>414.56</v>
      </c>
      <c r="D164" s="5">
        <v>199.82</v>
      </c>
      <c r="E164" s="5">
        <v>151.41999999999999</v>
      </c>
      <c r="F164" s="5">
        <v>159.97999999999999</v>
      </c>
      <c r="G164" s="10">
        <f t="shared" si="2"/>
        <v>231.78599999999997</v>
      </c>
    </row>
    <row r="165" spans="1:7" x14ac:dyDescent="0.2">
      <c r="A165" s="7">
        <v>45519</v>
      </c>
      <c r="B165" s="3">
        <v>235.07</v>
      </c>
      <c r="C165" s="3">
        <v>412.89</v>
      </c>
      <c r="D165" s="3">
        <v>199.83</v>
      </c>
      <c r="E165" s="3">
        <v>150.36000000000001</v>
      </c>
      <c r="F165" s="3">
        <v>158.84</v>
      </c>
      <c r="G165" s="8">
        <f t="shared" si="2"/>
        <v>231.398</v>
      </c>
    </row>
    <row r="166" spans="1:7" x14ac:dyDescent="0.2">
      <c r="A166" s="9">
        <v>45520</v>
      </c>
      <c r="B166" s="5">
        <v>236.02</v>
      </c>
      <c r="C166" s="5">
        <v>409.63</v>
      </c>
      <c r="D166" s="5">
        <v>200.24</v>
      </c>
      <c r="E166" s="5">
        <v>149.53</v>
      </c>
      <c r="F166" s="5">
        <v>154.13</v>
      </c>
      <c r="G166" s="10">
        <f t="shared" si="2"/>
        <v>229.91</v>
      </c>
    </row>
    <row r="167" spans="1:7" x14ac:dyDescent="0.2">
      <c r="A167" s="7">
        <v>45523</v>
      </c>
      <c r="B167" s="3">
        <v>242.7</v>
      </c>
      <c r="C167" s="3">
        <v>410.12</v>
      </c>
      <c r="D167" s="3">
        <v>196.49</v>
      </c>
      <c r="E167" s="3">
        <v>148.21</v>
      </c>
      <c r="F167" s="3">
        <v>157.75</v>
      </c>
      <c r="G167" s="8">
        <f t="shared" si="2"/>
        <v>231.054</v>
      </c>
    </row>
    <row r="168" spans="1:7" x14ac:dyDescent="0.2">
      <c r="A168" s="9">
        <v>45524</v>
      </c>
      <c r="B168" s="5">
        <v>243.54</v>
      </c>
      <c r="C168" s="5">
        <v>411.37</v>
      </c>
      <c r="D168" s="5">
        <v>197.05</v>
      </c>
      <c r="E168" s="5">
        <v>146.69</v>
      </c>
      <c r="F168" s="5">
        <v>161.53</v>
      </c>
      <c r="G168" s="10">
        <f t="shared" si="2"/>
        <v>232.036</v>
      </c>
    </row>
    <row r="169" spans="1:7" x14ac:dyDescent="0.2">
      <c r="A169" s="7">
        <v>45525</v>
      </c>
      <c r="B169" s="3">
        <v>242.68</v>
      </c>
      <c r="C169" s="3">
        <v>411.69</v>
      </c>
      <c r="D169" s="3">
        <v>195.2</v>
      </c>
      <c r="E169" s="3">
        <v>145.71</v>
      </c>
      <c r="F169" s="3">
        <v>161.76</v>
      </c>
      <c r="G169" s="8">
        <f t="shared" si="2"/>
        <v>231.40799999999999</v>
      </c>
    </row>
    <row r="170" spans="1:7" x14ac:dyDescent="0.2">
      <c r="A170" s="9">
        <v>45526</v>
      </c>
      <c r="B170" s="5">
        <v>243.11</v>
      </c>
      <c r="C170" s="5">
        <v>417.89</v>
      </c>
      <c r="D170" s="5">
        <v>192.3</v>
      </c>
      <c r="E170" s="5">
        <v>143.66</v>
      </c>
      <c r="F170" s="5">
        <v>162.4</v>
      </c>
      <c r="G170" s="10">
        <f t="shared" si="2"/>
        <v>231.87199999999999</v>
      </c>
    </row>
    <row r="171" spans="1:7" x14ac:dyDescent="0.2">
      <c r="A171" s="7">
        <v>45527</v>
      </c>
      <c r="B171" s="3">
        <v>247.87</v>
      </c>
      <c r="C171" s="3">
        <v>419.25</v>
      </c>
      <c r="D171" s="3">
        <v>191.94</v>
      </c>
      <c r="E171" s="3">
        <v>142.22</v>
      </c>
      <c r="F171" s="3">
        <v>164.85</v>
      </c>
      <c r="G171" s="8">
        <f t="shared" si="2"/>
        <v>233.22599999999997</v>
      </c>
    </row>
    <row r="172" spans="1:7" x14ac:dyDescent="0.2">
      <c r="A172" s="9">
        <v>45530</v>
      </c>
      <c r="B172" s="5">
        <v>248.33</v>
      </c>
      <c r="C172" s="5">
        <v>417.66</v>
      </c>
      <c r="D172" s="5">
        <v>187.01</v>
      </c>
      <c r="E172" s="5">
        <v>139.97999999999999</v>
      </c>
      <c r="F172" s="5">
        <v>164.76</v>
      </c>
      <c r="G172" s="10">
        <f t="shared" si="2"/>
        <v>231.548</v>
      </c>
    </row>
    <row r="173" spans="1:7" x14ac:dyDescent="0.2">
      <c r="A173" s="7">
        <v>45531</v>
      </c>
      <c r="B173" s="3">
        <v>250.08</v>
      </c>
      <c r="C173" s="3">
        <v>411.21</v>
      </c>
      <c r="D173" s="3">
        <v>188.9</v>
      </c>
      <c r="E173" s="3">
        <v>137.93</v>
      </c>
      <c r="F173" s="3">
        <v>168.92</v>
      </c>
      <c r="G173" s="8">
        <f t="shared" si="2"/>
        <v>231.40799999999999</v>
      </c>
    </row>
    <row r="174" spans="1:7" x14ac:dyDescent="0.2">
      <c r="A174" s="9">
        <v>45532</v>
      </c>
      <c r="B174" s="5">
        <v>254.04</v>
      </c>
      <c r="C174" s="5">
        <v>415.19</v>
      </c>
      <c r="D174" s="5">
        <v>191.21</v>
      </c>
      <c r="E174" s="5">
        <v>135.82</v>
      </c>
      <c r="F174" s="5">
        <v>176.8</v>
      </c>
      <c r="G174" s="10">
        <f t="shared" si="2"/>
        <v>234.61199999999999</v>
      </c>
    </row>
    <row r="175" spans="1:7" x14ac:dyDescent="0.2">
      <c r="A175" s="7">
        <v>45533</v>
      </c>
      <c r="B175" s="3">
        <v>252.42</v>
      </c>
      <c r="C175" s="3">
        <v>418.17</v>
      </c>
      <c r="D175" s="3">
        <v>191.12</v>
      </c>
      <c r="E175" s="3">
        <v>135.15</v>
      </c>
      <c r="F175" s="3">
        <v>177.25</v>
      </c>
      <c r="G175" s="8">
        <f t="shared" si="2"/>
        <v>234.82200000000003</v>
      </c>
    </row>
    <row r="176" spans="1:7" x14ac:dyDescent="0.2">
      <c r="A176" s="9">
        <v>45534</v>
      </c>
      <c r="B176" s="5">
        <v>246.83</v>
      </c>
      <c r="C176" s="5">
        <v>426.18</v>
      </c>
      <c r="D176" s="5">
        <v>188.52</v>
      </c>
      <c r="E176" s="5">
        <v>134.27000000000001</v>
      </c>
      <c r="F176" s="5">
        <v>179.49</v>
      </c>
      <c r="G176" s="10">
        <f t="shared" si="2"/>
        <v>235.05799999999999</v>
      </c>
    </row>
    <row r="177" spans="1:7" x14ac:dyDescent="0.2">
      <c r="A177" s="7">
        <v>45537</v>
      </c>
      <c r="B177" s="3">
        <v>247.86</v>
      </c>
      <c r="C177" s="3">
        <v>422.17</v>
      </c>
      <c r="D177" s="3">
        <v>186.08</v>
      </c>
      <c r="E177" s="3">
        <v>132.66</v>
      </c>
      <c r="F177" s="3">
        <v>183.93</v>
      </c>
      <c r="G177" s="8">
        <f t="shared" si="2"/>
        <v>234.54000000000002</v>
      </c>
    </row>
    <row r="178" spans="1:7" x14ac:dyDescent="0.2">
      <c r="A178" s="9">
        <v>45538</v>
      </c>
      <c r="B178" s="5">
        <v>248.67</v>
      </c>
      <c r="C178" s="5">
        <v>422.44</v>
      </c>
      <c r="D178" s="5">
        <v>185.74</v>
      </c>
      <c r="E178" s="5">
        <v>133.33000000000001</v>
      </c>
      <c r="F178" s="5">
        <v>182.24</v>
      </c>
      <c r="G178" s="10">
        <f t="shared" si="2"/>
        <v>234.48400000000001</v>
      </c>
    </row>
    <row r="179" spans="1:7" x14ac:dyDescent="0.2">
      <c r="A179" s="7">
        <v>45539</v>
      </c>
      <c r="B179" s="3">
        <v>246.78</v>
      </c>
      <c r="C179" s="3">
        <v>422.24</v>
      </c>
      <c r="D179" s="3">
        <v>179.49</v>
      </c>
      <c r="E179" s="3">
        <v>133.31</v>
      </c>
      <c r="F179" s="3">
        <v>176.54</v>
      </c>
      <c r="G179" s="8">
        <f t="shared" si="2"/>
        <v>231.67199999999997</v>
      </c>
    </row>
    <row r="180" spans="1:7" x14ac:dyDescent="0.2">
      <c r="A180" s="9">
        <v>45540</v>
      </c>
      <c r="B180" s="5">
        <v>249.65</v>
      </c>
      <c r="C180" s="5">
        <v>421.89</v>
      </c>
      <c r="D180" s="5">
        <v>180</v>
      </c>
      <c r="E180" s="5">
        <v>132.77000000000001</v>
      </c>
      <c r="F180" s="5">
        <v>181.07</v>
      </c>
      <c r="G180" s="10">
        <f t="shared" si="2"/>
        <v>233.07599999999996</v>
      </c>
    </row>
    <row r="181" spans="1:7" x14ac:dyDescent="0.2">
      <c r="A181" s="7">
        <v>45541</v>
      </c>
      <c r="B181" s="3">
        <v>251.7</v>
      </c>
      <c r="C181" s="3">
        <v>422.07</v>
      </c>
      <c r="D181" s="3">
        <v>181.73</v>
      </c>
      <c r="E181" s="3">
        <v>132.19</v>
      </c>
      <c r="F181" s="3">
        <v>173.17</v>
      </c>
      <c r="G181" s="8">
        <f t="shared" si="2"/>
        <v>232.17200000000003</v>
      </c>
    </row>
    <row r="182" spans="1:7" x14ac:dyDescent="0.2">
      <c r="A182" s="9">
        <v>45544</v>
      </c>
      <c r="B182" s="5">
        <v>248.52</v>
      </c>
      <c r="C182" s="5">
        <v>412.79</v>
      </c>
      <c r="D182" s="5">
        <v>180.99</v>
      </c>
      <c r="E182" s="5">
        <v>134.34</v>
      </c>
      <c r="F182" s="5">
        <v>181.9</v>
      </c>
      <c r="G182" s="10">
        <f t="shared" si="2"/>
        <v>231.70800000000003</v>
      </c>
    </row>
    <row r="183" spans="1:7" x14ac:dyDescent="0.2">
      <c r="A183" s="7">
        <v>45545</v>
      </c>
      <c r="B183" s="3">
        <v>250.27</v>
      </c>
      <c r="C183" s="3">
        <v>417.34</v>
      </c>
      <c r="D183" s="3">
        <v>179.79</v>
      </c>
      <c r="E183" s="3">
        <v>134.69999999999999</v>
      </c>
      <c r="F183" s="3">
        <v>186.39</v>
      </c>
      <c r="G183" s="8">
        <f t="shared" si="2"/>
        <v>233.69799999999995</v>
      </c>
    </row>
    <row r="184" spans="1:7" x14ac:dyDescent="0.2">
      <c r="A184" s="9">
        <v>45546</v>
      </c>
      <c r="B184" s="5">
        <v>249.71</v>
      </c>
      <c r="C184" s="5">
        <v>421.01</v>
      </c>
      <c r="D184" s="5">
        <v>180.3</v>
      </c>
      <c r="E184" s="5">
        <v>135.38</v>
      </c>
      <c r="F184" s="5">
        <v>187.43</v>
      </c>
      <c r="G184" s="10">
        <f t="shared" si="2"/>
        <v>234.76599999999999</v>
      </c>
    </row>
    <row r="185" spans="1:7" x14ac:dyDescent="0.2">
      <c r="A185" s="7">
        <v>45547</v>
      </c>
      <c r="B185" s="3">
        <v>244.97</v>
      </c>
      <c r="C185" s="3">
        <v>427.32</v>
      </c>
      <c r="D185" s="3">
        <v>181.24</v>
      </c>
      <c r="E185" s="3">
        <v>131.91999999999999</v>
      </c>
      <c r="F185" s="3">
        <v>187.75</v>
      </c>
      <c r="G185" s="8">
        <f t="shared" si="2"/>
        <v>234.63999999999996</v>
      </c>
    </row>
    <row r="186" spans="1:7" x14ac:dyDescent="0.2">
      <c r="A186" s="9">
        <v>45548</v>
      </c>
      <c r="B186" s="5">
        <v>246.49</v>
      </c>
      <c r="C186" s="5">
        <v>439.94</v>
      </c>
      <c r="D186" s="5">
        <v>184.07</v>
      </c>
      <c r="E186" s="5">
        <v>131.1</v>
      </c>
      <c r="F186" s="5">
        <v>197.01</v>
      </c>
      <c r="G186" s="10">
        <f t="shared" si="2"/>
        <v>239.72200000000004</v>
      </c>
    </row>
    <row r="187" spans="1:7" x14ac:dyDescent="0.2">
      <c r="A187" s="7">
        <v>45551</v>
      </c>
      <c r="B187" s="3">
        <v>246.42</v>
      </c>
      <c r="C187" s="3">
        <v>438.25</v>
      </c>
      <c r="D187" s="3">
        <v>184.17</v>
      </c>
      <c r="E187" s="3">
        <v>128.29</v>
      </c>
      <c r="F187" s="3">
        <v>191.85</v>
      </c>
      <c r="G187" s="8">
        <f t="shared" si="2"/>
        <v>237.79599999999996</v>
      </c>
    </row>
    <row r="188" spans="1:7" x14ac:dyDescent="0.2">
      <c r="A188" s="9">
        <v>45552</v>
      </c>
      <c r="B188" s="5">
        <v>244.11</v>
      </c>
      <c r="C188" s="5">
        <v>438.18</v>
      </c>
      <c r="D188" s="5">
        <v>182.45</v>
      </c>
      <c r="E188" s="5">
        <v>127.78</v>
      </c>
      <c r="F188" s="5">
        <v>185.68</v>
      </c>
      <c r="G188" s="10">
        <f t="shared" si="2"/>
        <v>235.64000000000001</v>
      </c>
    </row>
    <row r="189" spans="1:7" x14ac:dyDescent="0.2">
      <c r="A189" s="7">
        <v>45553</v>
      </c>
      <c r="B189" s="3">
        <v>245.84</v>
      </c>
      <c r="C189" s="3">
        <v>438.37</v>
      </c>
      <c r="D189" s="3">
        <v>181.33</v>
      </c>
      <c r="E189" s="3">
        <v>128.30000000000001</v>
      </c>
      <c r="F189" s="3">
        <v>182.63</v>
      </c>
      <c r="G189" s="8">
        <f t="shared" si="2"/>
        <v>235.29400000000004</v>
      </c>
    </row>
    <row r="190" spans="1:7" x14ac:dyDescent="0.2">
      <c r="A190" s="9">
        <v>45554</v>
      </c>
      <c r="B190" s="5">
        <v>247.47</v>
      </c>
      <c r="C190" s="5">
        <v>449.57</v>
      </c>
      <c r="D190" s="5">
        <v>181.85</v>
      </c>
      <c r="E190" s="5">
        <v>127.47</v>
      </c>
      <c r="F190" s="5">
        <v>181.35</v>
      </c>
      <c r="G190" s="10">
        <f t="shared" si="2"/>
        <v>237.542</v>
      </c>
    </row>
    <row r="191" spans="1:7" x14ac:dyDescent="0.2">
      <c r="A191" s="7">
        <v>45555</v>
      </c>
      <c r="B191" s="3">
        <v>245.69</v>
      </c>
      <c r="C191" s="3">
        <v>439.59</v>
      </c>
      <c r="D191" s="3">
        <v>185.87</v>
      </c>
      <c r="E191" s="3">
        <v>128.16999999999999</v>
      </c>
      <c r="F191" s="3">
        <v>176.29</v>
      </c>
      <c r="G191" s="8">
        <f t="shared" si="2"/>
        <v>235.12199999999999</v>
      </c>
    </row>
    <row r="192" spans="1:7" x14ac:dyDescent="0.2">
      <c r="A192" s="9">
        <v>45558</v>
      </c>
      <c r="B192" s="5">
        <v>247.04</v>
      </c>
      <c r="C192" s="5">
        <v>442.5</v>
      </c>
      <c r="D192" s="5">
        <v>185.09</v>
      </c>
      <c r="E192" s="5">
        <v>126.9</v>
      </c>
      <c r="F192" s="5">
        <v>177.1</v>
      </c>
      <c r="G192" s="10">
        <f t="shared" si="2"/>
        <v>235.72599999999997</v>
      </c>
    </row>
    <row r="193" spans="1:7" x14ac:dyDescent="0.2">
      <c r="A193" s="7">
        <v>45559</v>
      </c>
      <c r="B193" s="3">
        <v>250.37</v>
      </c>
      <c r="C193" s="3">
        <v>434.17</v>
      </c>
      <c r="D193" s="3">
        <v>182.42</v>
      </c>
      <c r="E193" s="3">
        <v>127.67</v>
      </c>
      <c r="F193" s="3">
        <v>177.83</v>
      </c>
      <c r="G193" s="8">
        <f t="shared" si="2"/>
        <v>234.49199999999996</v>
      </c>
    </row>
    <row r="194" spans="1:7" x14ac:dyDescent="0.2">
      <c r="A194" s="9">
        <v>45560</v>
      </c>
      <c r="B194" s="5">
        <v>248.13</v>
      </c>
      <c r="C194" s="5">
        <v>419.73</v>
      </c>
      <c r="D194" s="5">
        <v>180.25</v>
      </c>
      <c r="E194" s="5">
        <v>125.72</v>
      </c>
      <c r="F194" s="5">
        <v>173.83</v>
      </c>
      <c r="G194" s="10">
        <f t="shared" si="2"/>
        <v>229.53200000000001</v>
      </c>
    </row>
    <row r="195" spans="1:7" x14ac:dyDescent="0.2">
      <c r="A195" s="7">
        <v>45561</v>
      </c>
      <c r="B195" s="3">
        <v>249.43</v>
      </c>
      <c r="C195" s="3">
        <v>408.83</v>
      </c>
      <c r="D195" s="3">
        <v>175.01</v>
      </c>
      <c r="E195" s="3">
        <v>125.43</v>
      </c>
      <c r="F195" s="3">
        <v>181.68</v>
      </c>
      <c r="G195" s="8">
        <f t="shared" ref="G195:G258" si="3">AVERAGE(B195:F195)</f>
        <v>228.07600000000002</v>
      </c>
    </row>
    <row r="196" spans="1:7" x14ac:dyDescent="0.2">
      <c r="A196" s="9">
        <v>45562</v>
      </c>
      <c r="B196" s="5">
        <v>249.51</v>
      </c>
      <c r="C196" s="5">
        <v>401.61</v>
      </c>
      <c r="D196" s="5">
        <v>175.87</v>
      </c>
      <c r="E196" s="5">
        <v>125.99</v>
      </c>
      <c r="F196" s="5">
        <v>174.65</v>
      </c>
      <c r="G196" s="10">
        <f t="shared" si="3"/>
        <v>225.52600000000001</v>
      </c>
    </row>
    <row r="197" spans="1:7" x14ac:dyDescent="0.2">
      <c r="A197" s="7">
        <v>45565</v>
      </c>
      <c r="B197" s="3">
        <v>256.93</v>
      </c>
      <c r="C197" s="3">
        <v>407.31</v>
      </c>
      <c r="D197" s="3">
        <v>172.57</v>
      </c>
      <c r="E197" s="3">
        <v>126.7</v>
      </c>
      <c r="F197" s="3">
        <v>168.46</v>
      </c>
      <c r="G197" s="8">
        <f t="shared" si="3"/>
        <v>226.39400000000001</v>
      </c>
    </row>
    <row r="198" spans="1:7" x14ac:dyDescent="0.2">
      <c r="A198" s="9">
        <v>45566</v>
      </c>
      <c r="B198" s="5">
        <v>250.79</v>
      </c>
      <c r="C198" s="5">
        <v>402.83</v>
      </c>
      <c r="D198" s="5">
        <v>169.64</v>
      </c>
      <c r="E198" s="5">
        <v>126.58</v>
      </c>
      <c r="F198" s="5">
        <v>170.28</v>
      </c>
      <c r="G198" s="10">
        <f t="shared" si="3"/>
        <v>224.02400000000003</v>
      </c>
    </row>
    <row r="199" spans="1:7" x14ac:dyDescent="0.2">
      <c r="A199" s="7">
        <v>45567</v>
      </c>
      <c r="B199" s="3">
        <v>253.13</v>
      </c>
      <c r="C199" s="3">
        <v>401.76</v>
      </c>
      <c r="D199" s="3">
        <v>165</v>
      </c>
      <c r="E199" s="3">
        <v>129.07</v>
      </c>
      <c r="F199" s="3">
        <v>169.34</v>
      </c>
      <c r="G199" s="8">
        <f t="shared" si="3"/>
        <v>223.66</v>
      </c>
    </row>
    <row r="200" spans="1:7" x14ac:dyDescent="0.2">
      <c r="A200" s="9">
        <v>45568</v>
      </c>
      <c r="B200" s="5">
        <v>252.2</v>
      </c>
      <c r="C200" s="5">
        <v>395.8</v>
      </c>
      <c r="D200" s="5">
        <v>162.47</v>
      </c>
      <c r="E200" s="5">
        <v>128.57</v>
      </c>
      <c r="F200" s="5">
        <v>171.37</v>
      </c>
      <c r="G200" s="10">
        <f t="shared" si="3"/>
        <v>222.08199999999997</v>
      </c>
    </row>
    <row r="201" spans="1:7" x14ac:dyDescent="0.2">
      <c r="A201" s="7">
        <v>45569</v>
      </c>
      <c r="B201" s="3">
        <v>251.95</v>
      </c>
      <c r="C201" s="3">
        <v>399.06</v>
      </c>
      <c r="D201" s="3">
        <v>163.81</v>
      </c>
      <c r="E201" s="3">
        <v>128.03</v>
      </c>
      <c r="F201" s="3">
        <v>168.45</v>
      </c>
      <c r="G201" s="8">
        <f t="shared" si="3"/>
        <v>222.26</v>
      </c>
    </row>
    <row r="202" spans="1:7" x14ac:dyDescent="0.2">
      <c r="A202" s="9">
        <v>45572</v>
      </c>
      <c r="B202" s="5">
        <v>258.25</v>
      </c>
      <c r="C202" s="5">
        <v>393.46</v>
      </c>
      <c r="D202" s="5">
        <v>160.85</v>
      </c>
      <c r="E202" s="5">
        <v>124.54</v>
      </c>
      <c r="F202" s="5">
        <v>163.63</v>
      </c>
      <c r="G202" s="10">
        <f t="shared" si="3"/>
        <v>220.14600000000002</v>
      </c>
    </row>
    <row r="203" spans="1:7" x14ac:dyDescent="0.2">
      <c r="A203" s="7">
        <v>45573</v>
      </c>
      <c r="B203" s="3">
        <v>258.3</v>
      </c>
      <c r="C203" s="3">
        <v>400.32</v>
      </c>
      <c r="D203" s="3">
        <v>156.96</v>
      </c>
      <c r="E203" s="3">
        <v>126.78</v>
      </c>
      <c r="F203" s="3">
        <v>160.72</v>
      </c>
      <c r="G203" s="8">
        <f t="shared" si="3"/>
        <v>220.61599999999999</v>
      </c>
    </row>
    <row r="204" spans="1:7" x14ac:dyDescent="0.2">
      <c r="A204" s="9">
        <v>45574</v>
      </c>
      <c r="B204" s="5">
        <v>265.89999999999998</v>
      </c>
      <c r="C204" s="5">
        <v>395.27</v>
      </c>
      <c r="D204" s="5">
        <v>157.4</v>
      </c>
      <c r="E204" s="5">
        <v>126.35</v>
      </c>
      <c r="F204" s="5">
        <v>157.69</v>
      </c>
      <c r="G204" s="10">
        <f t="shared" si="3"/>
        <v>220.52199999999999</v>
      </c>
    </row>
    <row r="205" spans="1:7" x14ac:dyDescent="0.2">
      <c r="A205" s="7">
        <v>45575</v>
      </c>
      <c r="B205" s="3">
        <v>264.45</v>
      </c>
      <c r="C205" s="3">
        <v>391.46</v>
      </c>
      <c r="D205" s="3">
        <v>156.69999999999999</v>
      </c>
      <c r="E205" s="3">
        <v>124.9</v>
      </c>
      <c r="F205" s="3">
        <v>160.06</v>
      </c>
      <c r="G205" s="8">
        <f t="shared" si="3"/>
        <v>219.51399999999998</v>
      </c>
    </row>
    <row r="206" spans="1:7" x14ac:dyDescent="0.2">
      <c r="A206" s="9">
        <v>45576</v>
      </c>
      <c r="B206" s="5">
        <v>265.73</v>
      </c>
      <c r="C206" s="5">
        <v>392.2</v>
      </c>
      <c r="D206" s="5">
        <v>157.69999999999999</v>
      </c>
      <c r="E206" s="5">
        <v>126.59</v>
      </c>
      <c r="F206" s="5">
        <v>157.96</v>
      </c>
      <c r="G206" s="10">
        <f t="shared" si="3"/>
        <v>220.036</v>
      </c>
    </row>
    <row r="207" spans="1:7" x14ac:dyDescent="0.2">
      <c r="A207" s="7">
        <v>45579</v>
      </c>
      <c r="B207" s="3">
        <v>264.11</v>
      </c>
      <c r="C207" s="3">
        <v>392.44</v>
      </c>
      <c r="D207" s="3">
        <v>159.38</v>
      </c>
      <c r="E207" s="3">
        <v>128.19</v>
      </c>
      <c r="F207" s="3">
        <v>161.38</v>
      </c>
      <c r="G207" s="8">
        <f t="shared" si="3"/>
        <v>221.1</v>
      </c>
    </row>
    <row r="208" spans="1:7" x14ac:dyDescent="0.2">
      <c r="A208" s="9">
        <v>45580</v>
      </c>
      <c r="B208" s="5">
        <v>261.82</v>
      </c>
      <c r="C208" s="5">
        <v>399.83</v>
      </c>
      <c r="D208" s="5">
        <v>159.41</v>
      </c>
      <c r="E208" s="5">
        <v>128.37</v>
      </c>
      <c r="F208" s="5">
        <v>164.09</v>
      </c>
      <c r="G208" s="10">
        <f t="shared" si="3"/>
        <v>222.70400000000001</v>
      </c>
    </row>
    <row r="209" spans="1:7" x14ac:dyDescent="0.2">
      <c r="A209" s="7">
        <v>45581</v>
      </c>
      <c r="B209" s="3">
        <v>262.11</v>
      </c>
      <c r="C209" s="3">
        <v>400.58</v>
      </c>
      <c r="D209" s="3">
        <v>156.56</v>
      </c>
      <c r="E209" s="3">
        <v>126.57</v>
      </c>
      <c r="F209" s="3">
        <v>168.92</v>
      </c>
      <c r="G209" s="8">
        <f t="shared" si="3"/>
        <v>222.94800000000001</v>
      </c>
    </row>
    <row r="210" spans="1:7" x14ac:dyDescent="0.2">
      <c r="A210" s="9">
        <v>45582</v>
      </c>
      <c r="B210" s="5">
        <v>261.23</v>
      </c>
      <c r="C210" s="5">
        <v>394.41</v>
      </c>
      <c r="D210" s="5">
        <v>156.34</v>
      </c>
      <c r="E210" s="5">
        <v>127.14</v>
      </c>
      <c r="F210" s="5">
        <v>173.23</v>
      </c>
      <c r="G210" s="10">
        <f t="shared" si="3"/>
        <v>222.47000000000003</v>
      </c>
    </row>
    <row r="211" spans="1:7" x14ac:dyDescent="0.2">
      <c r="A211" s="7">
        <v>45583</v>
      </c>
      <c r="B211" s="3">
        <v>262</v>
      </c>
      <c r="C211" s="3">
        <v>391.66</v>
      </c>
      <c r="D211" s="3">
        <v>157.47999999999999</v>
      </c>
      <c r="E211" s="3">
        <v>126.39</v>
      </c>
      <c r="F211" s="3">
        <v>177.09</v>
      </c>
      <c r="G211" s="8">
        <f t="shared" si="3"/>
        <v>222.92400000000004</v>
      </c>
    </row>
    <row r="212" spans="1:7" x14ac:dyDescent="0.2">
      <c r="A212" s="9">
        <v>45586</v>
      </c>
      <c r="B212" s="5">
        <v>254.91</v>
      </c>
      <c r="C212" s="5">
        <v>388.86</v>
      </c>
      <c r="D212" s="5">
        <v>156.24</v>
      </c>
      <c r="E212" s="5">
        <v>124.95</v>
      </c>
      <c r="F212" s="5">
        <v>180.96</v>
      </c>
      <c r="G212" s="10">
        <f t="shared" si="3"/>
        <v>221.18400000000003</v>
      </c>
    </row>
    <row r="213" spans="1:7" x14ac:dyDescent="0.2">
      <c r="A213" s="7">
        <v>45587</v>
      </c>
      <c r="B213" s="3">
        <v>261.62</v>
      </c>
      <c r="C213" s="3">
        <v>392.64</v>
      </c>
      <c r="D213" s="3">
        <v>153.13999999999999</v>
      </c>
      <c r="E213" s="3">
        <v>126.29</v>
      </c>
      <c r="F213" s="3">
        <v>178.4</v>
      </c>
      <c r="G213" s="8">
        <f t="shared" si="3"/>
        <v>222.41799999999998</v>
      </c>
    </row>
    <row r="214" spans="1:7" x14ac:dyDescent="0.2">
      <c r="A214" s="9">
        <v>45588</v>
      </c>
      <c r="B214" s="5">
        <v>261.13</v>
      </c>
      <c r="C214" s="5">
        <v>394.72</v>
      </c>
      <c r="D214" s="5">
        <v>155.55000000000001</v>
      </c>
      <c r="E214" s="5">
        <v>123.63</v>
      </c>
      <c r="F214" s="5">
        <v>177.15</v>
      </c>
      <c r="G214" s="10">
        <f t="shared" si="3"/>
        <v>222.43600000000001</v>
      </c>
    </row>
    <row r="215" spans="1:7" x14ac:dyDescent="0.2">
      <c r="A215" s="7">
        <v>45589</v>
      </c>
      <c r="B215" s="3">
        <v>267.12</v>
      </c>
      <c r="C215" s="3">
        <v>394.23</v>
      </c>
      <c r="D215" s="3">
        <v>154.69</v>
      </c>
      <c r="E215" s="3">
        <v>124.37</v>
      </c>
      <c r="F215" s="3">
        <v>168.13</v>
      </c>
      <c r="G215" s="8">
        <f t="shared" si="3"/>
        <v>221.708</v>
      </c>
    </row>
    <row r="216" spans="1:7" x14ac:dyDescent="0.2">
      <c r="A216" s="9">
        <v>45590</v>
      </c>
      <c r="B216" s="5">
        <v>263.7</v>
      </c>
      <c r="C216" s="5">
        <v>398.8</v>
      </c>
      <c r="D216" s="5">
        <v>153.85</v>
      </c>
      <c r="E216" s="5">
        <v>124.98</v>
      </c>
      <c r="F216" s="5">
        <v>169.55</v>
      </c>
      <c r="G216" s="10">
        <f t="shared" si="3"/>
        <v>222.17600000000002</v>
      </c>
    </row>
    <row r="217" spans="1:7" x14ac:dyDescent="0.2">
      <c r="A217" s="7">
        <v>45593</v>
      </c>
      <c r="B217" s="3">
        <v>264.77999999999997</v>
      </c>
      <c r="C217" s="3">
        <v>396.18</v>
      </c>
      <c r="D217" s="3">
        <v>153.93</v>
      </c>
      <c r="E217" s="3">
        <v>127.58</v>
      </c>
      <c r="F217" s="3">
        <v>166.4</v>
      </c>
      <c r="G217" s="8">
        <f t="shared" si="3"/>
        <v>221.77400000000003</v>
      </c>
    </row>
    <row r="218" spans="1:7" x14ac:dyDescent="0.2">
      <c r="A218" s="9">
        <v>45594</v>
      </c>
      <c r="B218" s="5">
        <v>275.75</v>
      </c>
      <c r="C218" s="5">
        <v>395.6</v>
      </c>
      <c r="D218" s="5">
        <v>156.19999999999999</v>
      </c>
      <c r="E218" s="5">
        <v>128.03</v>
      </c>
      <c r="F218" s="5">
        <v>168.32</v>
      </c>
      <c r="G218" s="10">
        <f t="shared" si="3"/>
        <v>224.77999999999997</v>
      </c>
    </row>
    <row r="219" spans="1:7" x14ac:dyDescent="0.2">
      <c r="A219" s="7">
        <v>45595</v>
      </c>
      <c r="B219" s="3">
        <v>272.70999999999998</v>
      </c>
      <c r="C219" s="3">
        <v>396.65</v>
      </c>
      <c r="D219" s="3">
        <v>156.82</v>
      </c>
      <c r="E219" s="3">
        <v>125.43</v>
      </c>
      <c r="F219" s="3">
        <v>170.86</v>
      </c>
      <c r="G219" s="8">
        <f t="shared" si="3"/>
        <v>224.49399999999997</v>
      </c>
    </row>
    <row r="220" spans="1:7" x14ac:dyDescent="0.2">
      <c r="A220" s="9">
        <v>45596</v>
      </c>
      <c r="B220" s="5">
        <v>267.49</v>
      </c>
      <c r="C220" s="5">
        <v>404.65</v>
      </c>
      <c r="D220" s="5">
        <v>156.13999999999999</v>
      </c>
      <c r="E220" s="5">
        <v>124.42</v>
      </c>
      <c r="F220" s="5">
        <v>164.44</v>
      </c>
      <c r="G220" s="10">
        <f t="shared" si="3"/>
        <v>223.42799999999997</v>
      </c>
    </row>
    <row r="221" spans="1:7" x14ac:dyDescent="0.2">
      <c r="A221" s="7">
        <v>45597</v>
      </c>
      <c r="B221" s="3">
        <v>265.67</v>
      </c>
      <c r="C221" s="3">
        <v>404.25</v>
      </c>
      <c r="D221" s="3">
        <v>157.68</v>
      </c>
      <c r="E221" s="3">
        <v>124.54</v>
      </c>
      <c r="F221" s="3">
        <v>159.82</v>
      </c>
      <c r="G221" s="8">
        <f t="shared" si="3"/>
        <v>222.392</v>
      </c>
    </row>
    <row r="222" spans="1:7" x14ac:dyDescent="0.2">
      <c r="A222" s="9">
        <v>45600</v>
      </c>
      <c r="B222" s="5">
        <v>267.38</v>
      </c>
      <c r="C222" s="5">
        <v>402.53</v>
      </c>
      <c r="D222" s="5">
        <v>162.47</v>
      </c>
      <c r="E222" s="5">
        <v>125.02</v>
      </c>
      <c r="F222" s="5">
        <v>158.30000000000001</v>
      </c>
      <c r="G222" s="10">
        <f t="shared" si="3"/>
        <v>223.14000000000001</v>
      </c>
    </row>
    <row r="223" spans="1:7" x14ac:dyDescent="0.2">
      <c r="A223" s="7">
        <v>45601</v>
      </c>
      <c r="B223" s="3">
        <v>269.87</v>
      </c>
      <c r="C223" s="3">
        <v>397.18</v>
      </c>
      <c r="D223" s="3">
        <v>165.68</v>
      </c>
      <c r="E223" s="3">
        <v>126.28</v>
      </c>
      <c r="F223" s="3">
        <v>156.05000000000001</v>
      </c>
      <c r="G223" s="8">
        <f t="shared" si="3"/>
        <v>223.012</v>
      </c>
    </row>
    <row r="224" spans="1:7" x14ac:dyDescent="0.2">
      <c r="A224" s="9">
        <v>45602</v>
      </c>
      <c r="B224" s="5">
        <v>274.48</v>
      </c>
      <c r="C224" s="5">
        <v>400.84</v>
      </c>
      <c r="D224" s="5">
        <v>167.29</v>
      </c>
      <c r="E224" s="5">
        <v>123.84</v>
      </c>
      <c r="F224" s="5">
        <v>156.83000000000001</v>
      </c>
      <c r="G224" s="10">
        <f t="shared" si="3"/>
        <v>224.65600000000001</v>
      </c>
    </row>
    <row r="225" spans="1:7" x14ac:dyDescent="0.2">
      <c r="A225" s="7">
        <v>45603</v>
      </c>
      <c r="B225" s="3">
        <v>273.64999999999998</v>
      </c>
      <c r="C225" s="3">
        <v>397.9</v>
      </c>
      <c r="D225" s="3">
        <v>164.71</v>
      </c>
      <c r="E225" s="3">
        <v>123.47</v>
      </c>
      <c r="F225" s="3">
        <v>151.80000000000001</v>
      </c>
      <c r="G225" s="8">
        <f t="shared" si="3"/>
        <v>222.30599999999998</v>
      </c>
    </row>
    <row r="226" spans="1:7" x14ac:dyDescent="0.2">
      <c r="A226" s="9">
        <v>45604</v>
      </c>
      <c r="B226" s="5">
        <v>268.02999999999997</v>
      </c>
      <c r="C226" s="5">
        <v>399.8</v>
      </c>
      <c r="D226" s="5">
        <v>173.41</v>
      </c>
      <c r="E226" s="5">
        <v>124.7</v>
      </c>
      <c r="F226" s="5">
        <v>152.05000000000001</v>
      </c>
      <c r="G226" s="10">
        <f t="shared" si="3"/>
        <v>223.59800000000001</v>
      </c>
    </row>
    <row r="227" spans="1:7" x14ac:dyDescent="0.2">
      <c r="A227" s="7">
        <v>45607</v>
      </c>
      <c r="B227" s="3">
        <v>266.58999999999997</v>
      </c>
      <c r="C227" s="3">
        <v>390.04</v>
      </c>
      <c r="D227" s="3">
        <v>170.55</v>
      </c>
      <c r="E227" s="3">
        <v>126.66</v>
      </c>
      <c r="F227" s="3">
        <v>144.91</v>
      </c>
      <c r="G227" s="8">
        <f t="shared" si="3"/>
        <v>219.75</v>
      </c>
    </row>
    <row r="228" spans="1:7" x14ac:dyDescent="0.2">
      <c r="A228" s="9">
        <v>45608</v>
      </c>
      <c r="B228" s="5">
        <v>270.97000000000003</v>
      </c>
      <c r="C228" s="5">
        <v>395.45</v>
      </c>
      <c r="D228" s="5">
        <v>169.71</v>
      </c>
      <c r="E228" s="5">
        <v>129.06</v>
      </c>
      <c r="F228" s="5">
        <v>136.21</v>
      </c>
      <c r="G228" s="10">
        <f t="shared" si="3"/>
        <v>220.28000000000003</v>
      </c>
    </row>
    <row r="229" spans="1:7" x14ac:dyDescent="0.2">
      <c r="A229" s="7">
        <v>45609</v>
      </c>
      <c r="B229" s="3">
        <v>272.69</v>
      </c>
      <c r="C229" s="3">
        <v>388.72</v>
      </c>
      <c r="D229" s="3">
        <v>168.1</v>
      </c>
      <c r="E229" s="3">
        <v>128.6</v>
      </c>
      <c r="F229" s="3">
        <v>138.97999999999999</v>
      </c>
      <c r="G229" s="8">
        <f t="shared" si="3"/>
        <v>219.41800000000003</v>
      </c>
    </row>
    <row r="230" spans="1:7" x14ac:dyDescent="0.2">
      <c r="A230" s="9">
        <v>45610</v>
      </c>
      <c r="B230" s="5">
        <v>265.83</v>
      </c>
      <c r="C230" s="5">
        <v>384.91</v>
      </c>
      <c r="D230" s="5">
        <v>171.98</v>
      </c>
      <c r="E230" s="5">
        <v>130.05000000000001</v>
      </c>
      <c r="F230" s="5">
        <v>133.94</v>
      </c>
      <c r="G230" s="10">
        <f t="shared" si="3"/>
        <v>217.34200000000001</v>
      </c>
    </row>
    <row r="231" spans="1:7" x14ac:dyDescent="0.2">
      <c r="A231" s="7">
        <v>45611</v>
      </c>
      <c r="B231" s="3">
        <v>265.79000000000002</v>
      </c>
      <c r="C231" s="3">
        <v>390.32</v>
      </c>
      <c r="D231" s="3">
        <v>173.04</v>
      </c>
      <c r="E231" s="3">
        <v>132.32</v>
      </c>
      <c r="F231" s="3">
        <v>131.88</v>
      </c>
      <c r="G231" s="8">
        <f t="shared" si="3"/>
        <v>218.67</v>
      </c>
    </row>
    <row r="232" spans="1:7" x14ac:dyDescent="0.2">
      <c r="A232" s="9">
        <v>45614</v>
      </c>
      <c r="B232" s="5">
        <v>270.7</v>
      </c>
      <c r="C232" s="5">
        <v>383.67</v>
      </c>
      <c r="D232" s="5">
        <v>169.63</v>
      </c>
      <c r="E232" s="5">
        <v>133.94</v>
      </c>
      <c r="F232" s="5">
        <v>126.69</v>
      </c>
      <c r="G232" s="10">
        <f t="shared" si="3"/>
        <v>216.92600000000002</v>
      </c>
    </row>
    <row r="233" spans="1:7" x14ac:dyDescent="0.2">
      <c r="A233" s="7">
        <v>45615</v>
      </c>
      <c r="B233" s="3">
        <v>278.26</v>
      </c>
      <c r="C233" s="3">
        <v>383.39</v>
      </c>
      <c r="D233" s="3">
        <v>170.32</v>
      </c>
      <c r="E233" s="3">
        <v>134.94999999999999</v>
      </c>
      <c r="F233" s="3">
        <v>121.73</v>
      </c>
      <c r="G233" s="8">
        <f t="shared" si="3"/>
        <v>217.73000000000002</v>
      </c>
    </row>
    <row r="234" spans="1:7" x14ac:dyDescent="0.2">
      <c r="A234" s="9">
        <v>45616</v>
      </c>
      <c r="B234" s="5">
        <v>280.38</v>
      </c>
      <c r="C234" s="5">
        <v>383.88</v>
      </c>
      <c r="D234" s="5">
        <v>171.68</v>
      </c>
      <c r="E234" s="5">
        <v>136.11000000000001</v>
      </c>
      <c r="F234" s="5">
        <v>120.41</v>
      </c>
      <c r="G234" s="10">
        <f t="shared" si="3"/>
        <v>218.49200000000002</v>
      </c>
    </row>
    <row r="235" spans="1:7" x14ac:dyDescent="0.2">
      <c r="A235" s="7">
        <v>45617</v>
      </c>
      <c r="B235" s="3">
        <v>281.58999999999997</v>
      </c>
      <c r="C235" s="3">
        <v>379.01</v>
      </c>
      <c r="D235" s="3">
        <v>170.97</v>
      </c>
      <c r="E235" s="3">
        <v>135.08000000000001</v>
      </c>
      <c r="F235" s="3">
        <v>119.06</v>
      </c>
      <c r="G235" s="8">
        <f t="shared" si="3"/>
        <v>217.142</v>
      </c>
    </row>
    <row r="236" spans="1:7" x14ac:dyDescent="0.2">
      <c r="A236" s="9">
        <v>45618</v>
      </c>
      <c r="B236" s="5">
        <v>277.13</v>
      </c>
      <c r="C236" s="5">
        <v>385.74</v>
      </c>
      <c r="D236" s="5">
        <v>168.1</v>
      </c>
      <c r="E236" s="5">
        <v>133.16999999999999</v>
      </c>
      <c r="F236" s="5">
        <v>122.37</v>
      </c>
      <c r="G236" s="10">
        <f t="shared" si="3"/>
        <v>217.30199999999999</v>
      </c>
    </row>
    <row r="237" spans="1:7" x14ac:dyDescent="0.2">
      <c r="A237" s="7">
        <v>45621</v>
      </c>
      <c r="B237" s="3">
        <v>274.18</v>
      </c>
      <c r="C237" s="3">
        <v>393.37</v>
      </c>
      <c r="D237" s="3">
        <v>166.44</v>
      </c>
      <c r="E237" s="3">
        <v>134.52000000000001</v>
      </c>
      <c r="F237" s="3">
        <v>123.95</v>
      </c>
      <c r="G237" s="8">
        <f t="shared" si="3"/>
        <v>218.49200000000002</v>
      </c>
    </row>
    <row r="238" spans="1:7" x14ac:dyDescent="0.2">
      <c r="A238" s="9">
        <v>45622</v>
      </c>
      <c r="B238" s="5">
        <v>274.43</v>
      </c>
      <c r="C238" s="5">
        <v>383.41</v>
      </c>
      <c r="D238" s="5">
        <v>165.47</v>
      </c>
      <c r="E238" s="5">
        <v>134.09</v>
      </c>
      <c r="F238" s="5">
        <v>123.08</v>
      </c>
      <c r="G238" s="10">
        <f t="shared" si="3"/>
        <v>216.096</v>
      </c>
    </row>
    <row r="239" spans="1:7" x14ac:dyDescent="0.2">
      <c r="A239" s="7">
        <v>45623</v>
      </c>
      <c r="B239" s="3">
        <v>276.31</v>
      </c>
      <c r="C239" s="3">
        <v>376.3</v>
      </c>
      <c r="D239" s="3">
        <v>165.57</v>
      </c>
      <c r="E239" s="3">
        <v>134.09</v>
      </c>
      <c r="F239" s="3">
        <v>125.73</v>
      </c>
      <c r="G239" s="8">
        <f t="shared" si="3"/>
        <v>215.6</v>
      </c>
    </row>
    <row r="240" spans="1:7" x14ac:dyDescent="0.2">
      <c r="A240" s="9">
        <v>45624</v>
      </c>
      <c r="B240" s="5">
        <v>278.48</v>
      </c>
      <c r="C240" s="5">
        <v>380.37</v>
      </c>
      <c r="D240" s="5">
        <v>164.41</v>
      </c>
      <c r="E240" s="5">
        <v>133.35</v>
      </c>
      <c r="F240" s="5">
        <v>129.69999999999999</v>
      </c>
      <c r="G240" s="10">
        <f t="shared" si="3"/>
        <v>217.262</v>
      </c>
    </row>
    <row r="241" spans="1:7" x14ac:dyDescent="0.2">
      <c r="A241" s="7">
        <v>45625</v>
      </c>
      <c r="B241" s="3">
        <v>276.83</v>
      </c>
      <c r="C241" s="3">
        <v>374.04</v>
      </c>
      <c r="D241" s="3">
        <v>166.15</v>
      </c>
      <c r="E241" s="3">
        <v>132.87</v>
      </c>
      <c r="F241" s="3">
        <v>131.22999999999999</v>
      </c>
      <c r="G241" s="8">
        <f t="shared" si="3"/>
        <v>216.22399999999999</v>
      </c>
    </row>
    <row r="242" spans="1:7" x14ac:dyDescent="0.2">
      <c r="A242" s="9">
        <v>45628</v>
      </c>
      <c r="B242" s="5">
        <v>272.77</v>
      </c>
      <c r="C242" s="5">
        <v>372.26</v>
      </c>
      <c r="D242" s="5">
        <v>163.99</v>
      </c>
      <c r="E242" s="5">
        <v>133.22</v>
      </c>
      <c r="F242" s="5">
        <v>129.78</v>
      </c>
      <c r="G242" s="10">
        <f t="shared" si="3"/>
        <v>214.404</v>
      </c>
    </row>
    <row r="243" spans="1:7" x14ac:dyDescent="0.2">
      <c r="A243" s="7">
        <v>45629</v>
      </c>
      <c r="B243" s="3">
        <v>270.08999999999997</v>
      </c>
      <c r="C243" s="3">
        <v>373</v>
      </c>
      <c r="D243" s="3">
        <v>160.06</v>
      </c>
      <c r="E243" s="3">
        <v>131.9</v>
      </c>
      <c r="F243" s="3">
        <v>133.52000000000001</v>
      </c>
      <c r="G243" s="8">
        <f t="shared" si="3"/>
        <v>213.714</v>
      </c>
    </row>
    <row r="244" spans="1:7" x14ac:dyDescent="0.2">
      <c r="A244" s="9">
        <v>45630</v>
      </c>
      <c r="B244" s="5">
        <v>266.11</v>
      </c>
      <c r="C244" s="5">
        <v>376.47</v>
      </c>
      <c r="D244" s="5">
        <v>158.44999999999999</v>
      </c>
      <c r="E244" s="5">
        <v>132.03</v>
      </c>
      <c r="F244" s="5">
        <v>140.16999999999999</v>
      </c>
      <c r="G244" s="10">
        <f t="shared" si="3"/>
        <v>214.64600000000002</v>
      </c>
    </row>
    <row r="245" spans="1:7" x14ac:dyDescent="0.2">
      <c r="A245" s="7">
        <v>45631</v>
      </c>
      <c r="B245" s="3">
        <v>268.42</v>
      </c>
      <c r="C245" s="3">
        <v>375.49</v>
      </c>
      <c r="D245" s="3">
        <v>161.49</v>
      </c>
      <c r="E245" s="3">
        <v>132.38999999999999</v>
      </c>
      <c r="F245" s="3">
        <v>142.80000000000001</v>
      </c>
      <c r="G245" s="8">
        <f t="shared" si="3"/>
        <v>216.11800000000002</v>
      </c>
    </row>
    <row r="246" spans="1:7" x14ac:dyDescent="0.2">
      <c r="A246" s="9">
        <v>45632</v>
      </c>
      <c r="B246" s="5">
        <v>260.43</v>
      </c>
      <c r="C246" s="5">
        <v>376.07</v>
      </c>
      <c r="D246" s="5">
        <v>160.24</v>
      </c>
      <c r="E246" s="5">
        <v>132.33000000000001</v>
      </c>
      <c r="F246" s="5">
        <v>149.91999999999999</v>
      </c>
      <c r="G246" s="10">
        <f t="shared" si="3"/>
        <v>215.798</v>
      </c>
    </row>
    <row r="247" spans="1:7" x14ac:dyDescent="0.2">
      <c r="A247" s="7">
        <v>45635</v>
      </c>
      <c r="B247" s="3">
        <v>259.38</v>
      </c>
      <c r="C247" s="3">
        <v>372.39</v>
      </c>
      <c r="D247" s="3">
        <v>165.54</v>
      </c>
      <c r="E247" s="3">
        <v>131.38999999999999</v>
      </c>
      <c r="F247" s="3">
        <v>153.85</v>
      </c>
      <c r="G247" s="8">
        <f t="shared" si="3"/>
        <v>216.51</v>
      </c>
    </row>
    <row r="248" spans="1:7" x14ac:dyDescent="0.2">
      <c r="A248" s="9">
        <v>45636</v>
      </c>
      <c r="B248" s="5">
        <v>260.97000000000003</v>
      </c>
      <c r="C248" s="5">
        <v>378.76</v>
      </c>
      <c r="D248" s="5">
        <v>166.73</v>
      </c>
      <c r="E248" s="5">
        <v>132.46</v>
      </c>
      <c r="F248" s="5">
        <v>157.55000000000001</v>
      </c>
      <c r="G248" s="10">
        <f t="shared" si="3"/>
        <v>219.29400000000001</v>
      </c>
    </row>
    <row r="249" spans="1:7" x14ac:dyDescent="0.2">
      <c r="A249" s="7">
        <v>45637</v>
      </c>
      <c r="B249" s="3">
        <v>266.20999999999998</v>
      </c>
      <c r="C249" s="3">
        <v>376.43</v>
      </c>
      <c r="D249" s="3">
        <v>164.06</v>
      </c>
      <c r="E249" s="3">
        <v>134.97999999999999</v>
      </c>
      <c r="F249" s="3">
        <v>152.79</v>
      </c>
      <c r="G249" s="8">
        <f t="shared" si="3"/>
        <v>218.89400000000001</v>
      </c>
    </row>
    <row r="250" spans="1:7" x14ac:dyDescent="0.2">
      <c r="A250" s="9">
        <v>45638</v>
      </c>
      <c r="B250" s="5">
        <v>266.54000000000002</v>
      </c>
      <c r="C250" s="5">
        <v>378.21</v>
      </c>
      <c r="D250" s="5">
        <v>162.19</v>
      </c>
      <c r="E250" s="5">
        <v>134.21</v>
      </c>
      <c r="F250" s="5">
        <v>148.07</v>
      </c>
      <c r="G250" s="10">
        <f t="shared" si="3"/>
        <v>217.84399999999999</v>
      </c>
    </row>
    <row r="251" spans="1:7" x14ac:dyDescent="0.2">
      <c r="A251" s="7">
        <v>45639</v>
      </c>
      <c r="B251" s="3">
        <v>270.08999999999997</v>
      </c>
      <c r="C251" s="3">
        <v>375.81</v>
      </c>
      <c r="D251" s="3">
        <v>162.79</v>
      </c>
      <c r="E251" s="3">
        <v>135.91</v>
      </c>
      <c r="F251" s="3">
        <v>147.91</v>
      </c>
      <c r="G251" s="8">
        <f t="shared" si="3"/>
        <v>218.50200000000001</v>
      </c>
    </row>
    <row r="252" spans="1:7" x14ac:dyDescent="0.2">
      <c r="A252" s="9">
        <v>45642</v>
      </c>
      <c r="B252" s="5">
        <v>268.77</v>
      </c>
      <c r="C252" s="5">
        <v>376.44</v>
      </c>
      <c r="D252" s="5">
        <v>160.15</v>
      </c>
      <c r="E252" s="5">
        <v>137.16</v>
      </c>
      <c r="F252" s="5">
        <v>141.04</v>
      </c>
      <c r="G252" s="10">
        <f t="shared" si="3"/>
        <v>216.71199999999999</v>
      </c>
    </row>
    <row r="253" spans="1:7" x14ac:dyDescent="0.2">
      <c r="A253" s="7">
        <v>45643</v>
      </c>
      <c r="B253" s="3">
        <v>266.25</v>
      </c>
      <c r="C253" s="3">
        <v>375.73</v>
      </c>
      <c r="D253" s="3">
        <v>165.52</v>
      </c>
      <c r="E253" s="3">
        <v>133.56</v>
      </c>
      <c r="F253" s="3">
        <v>138.74</v>
      </c>
      <c r="G253" s="8">
        <f t="shared" si="3"/>
        <v>215.95999999999998</v>
      </c>
    </row>
    <row r="254" spans="1:7" x14ac:dyDescent="0.2">
      <c r="A254" s="9">
        <v>45644</v>
      </c>
      <c r="B254" s="5">
        <v>264</v>
      </c>
      <c r="C254" s="5">
        <v>375.05</v>
      </c>
      <c r="D254" s="5">
        <v>163.27000000000001</v>
      </c>
      <c r="E254" s="5">
        <v>132.58000000000001</v>
      </c>
      <c r="F254" s="5">
        <v>142.15</v>
      </c>
      <c r="G254" s="10">
        <f t="shared" si="3"/>
        <v>215.41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showGridLines="0" tabSelected="1" topLeftCell="A17" zoomScale="150" workbookViewId="0">
      <selection activeCell="B30" sqref="B30"/>
    </sheetView>
  </sheetViews>
  <sheetFormatPr baseColWidth="10" defaultColWidth="8.83203125" defaultRowHeight="15" x14ac:dyDescent="0.2"/>
  <cols>
    <col min="1" max="1" width="28" customWidth="1"/>
    <col min="2" max="2" width="30" customWidth="1"/>
  </cols>
  <sheetData>
    <row r="1" spans="1:6" ht="28" customHeight="1" x14ac:dyDescent="0.2">
      <c r="A1" s="22" t="s">
        <v>29</v>
      </c>
      <c r="B1" s="17"/>
      <c r="C1" s="17"/>
      <c r="D1" s="17"/>
      <c r="E1" s="17"/>
      <c r="F1" s="17"/>
    </row>
    <row r="3" spans="1:6" ht="22" customHeight="1" x14ac:dyDescent="0.2">
      <c r="A3" s="24" t="s">
        <v>30</v>
      </c>
      <c r="B3" s="17"/>
      <c r="C3" s="17"/>
      <c r="D3" s="17"/>
      <c r="E3" s="17"/>
      <c r="F3" s="17"/>
    </row>
    <row r="4" spans="1:6" x14ac:dyDescent="0.2">
      <c r="A4" s="11" t="s">
        <v>31</v>
      </c>
      <c r="B4" s="12">
        <f>AVERAGE('2_Raw_Data'!B3:B254)</f>
        <v>218.32888888888877</v>
      </c>
    </row>
    <row r="5" spans="1:6" x14ac:dyDescent="0.2">
      <c r="A5" s="11" t="s">
        <v>32</v>
      </c>
      <c r="B5" s="12">
        <f>AVERAGE('2_Raw_Data'!C3:C254)</f>
        <v>405.28547619047617</v>
      </c>
    </row>
    <row r="6" spans="1:6" x14ac:dyDescent="0.2">
      <c r="A6" s="11" t="s">
        <v>33</v>
      </c>
      <c r="B6" s="12">
        <f>MAX('2_Raw_Data'!F3:F254)</f>
        <v>343.36</v>
      </c>
    </row>
    <row r="7" spans="1:6" x14ac:dyDescent="0.2">
      <c r="A7" s="11" t="s">
        <v>34</v>
      </c>
      <c r="B7" s="12">
        <f>MIN('2_Raw_Data'!E3:E254)</f>
        <v>123.47</v>
      </c>
    </row>
    <row r="8" spans="1:6" x14ac:dyDescent="0.2">
      <c r="A8" s="11" t="s">
        <v>35</v>
      </c>
      <c r="B8" s="12">
        <f>COUNT('2_Raw_Data'!A3:A254)</f>
        <v>252</v>
      </c>
    </row>
    <row r="10" spans="1:6" ht="22" customHeight="1" x14ac:dyDescent="0.2">
      <c r="A10" s="21" t="s">
        <v>36</v>
      </c>
      <c r="B10" s="17"/>
      <c r="C10" s="17"/>
      <c r="D10" s="17"/>
      <c r="E10" s="17"/>
      <c r="F10" s="17"/>
    </row>
    <row r="11" spans="1:6" x14ac:dyDescent="0.2">
      <c r="A11" s="11" t="s">
        <v>37</v>
      </c>
      <c r="B11" s="12">
        <f>('2_Raw_Data'!B254-'2_Raw_Data'!B3)/'2_Raw_Data'!B3</f>
        <v>0.44657534246575342</v>
      </c>
    </row>
    <row r="12" spans="1:6" x14ac:dyDescent="0.2">
      <c r="A12" s="11" t="s">
        <v>38</v>
      </c>
      <c r="B12" s="12">
        <f>('2_Raw_Data'!C254-'2_Raw_Data'!C3)/'2_Raw_Data'!C3</f>
        <v>2.8074866310160733E-3</v>
      </c>
    </row>
    <row r="13" spans="1:6" x14ac:dyDescent="0.2">
      <c r="A13" s="11" t="s">
        <v>39</v>
      </c>
      <c r="B13" s="12">
        <f>('2_Raw_Data'!D254-'2_Raw_Data'!D3)/'2_Raw_Data'!D3</f>
        <v>-0.16271794871794867</v>
      </c>
    </row>
    <row r="14" spans="1:6" x14ac:dyDescent="0.2">
      <c r="A14" s="11" t="s">
        <v>40</v>
      </c>
      <c r="B14" s="12">
        <f>('2_Raw_Data'!E254-'2_Raw_Data'!E3)/'2_Raw_Data'!E3</f>
        <v>-0.16088607594936702</v>
      </c>
    </row>
    <row r="15" spans="1:6" x14ac:dyDescent="0.2">
      <c r="A15" s="11" t="s">
        <v>41</v>
      </c>
      <c r="B15" s="12">
        <f>('2_Raw_Data'!F254-'2_Raw_Data'!F3)/'2_Raw_Data'!F3</f>
        <v>-0.41979591836734692</v>
      </c>
    </row>
    <row r="17" spans="1:6" ht="22" customHeight="1" x14ac:dyDescent="0.2">
      <c r="A17" s="23" t="s">
        <v>42</v>
      </c>
      <c r="B17" s="17"/>
      <c r="C17" s="17"/>
      <c r="D17" s="17"/>
      <c r="E17" s="17"/>
      <c r="F17" s="17"/>
    </row>
    <row r="18" spans="1:6" x14ac:dyDescent="0.2">
      <c r="A18" s="11" t="s">
        <v>43</v>
      </c>
      <c r="B18" s="12" t="s">
        <v>15</v>
      </c>
    </row>
    <row r="19" spans="1:6" x14ac:dyDescent="0.2">
      <c r="A19" s="11" t="s">
        <v>3</v>
      </c>
      <c r="B19" s="12" t="str">
        <f>VLOOKUP(B18,'1_Company_Info'!A4:E9,2,FALSE)</f>
        <v>Johnson &amp; Johnson</v>
      </c>
    </row>
    <row r="20" spans="1:6" x14ac:dyDescent="0.2">
      <c r="A20" s="11" t="s">
        <v>4</v>
      </c>
      <c r="B20" s="12" t="str">
        <f>VLOOKUP(B18,'1_Company_Info'!A4:E9,3,FALSE)</f>
        <v>Healthcare</v>
      </c>
    </row>
    <row r="21" spans="1:6" x14ac:dyDescent="0.2">
      <c r="A21" s="11" t="s">
        <v>44</v>
      </c>
      <c r="B21" s="12">
        <f>VLOOKUP(B18,'1_Company_Info'!A4:E9,4,FALSE)</f>
        <v>158</v>
      </c>
    </row>
    <row r="22" spans="1:6" x14ac:dyDescent="0.2">
      <c r="A22" s="11" t="s">
        <v>45</v>
      </c>
      <c r="B22" s="12">
        <f>VLOOKUP(B18,'1_Company_Info'!A4:E9,5,FALSE)</f>
        <v>132.58000000000001</v>
      </c>
    </row>
    <row r="24" spans="1:6" ht="22" customHeight="1" x14ac:dyDescent="0.2">
      <c r="A24" s="20" t="s">
        <v>46</v>
      </c>
      <c r="B24" s="17"/>
      <c r="C24" s="17"/>
      <c r="D24" s="17"/>
      <c r="E24" s="17"/>
      <c r="F24" s="17"/>
    </row>
    <row r="25" spans="1:6" x14ac:dyDescent="0.2">
      <c r="A25" s="11" t="s">
        <v>47</v>
      </c>
      <c r="B25" s="12">
        <f>STDEV('2_Raw_Data'!B3:B254)</f>
        <v>33.987383274800031</v>
      </c>
    </row>
    <row r="26" spans="1:6" x14ac:dyDescent="0.2">
      <c r="A26" s="11" t="s">
        <v>48</v>
      </c>
      <c r="B26" s="12">
        <f>STDEV('2_Raw_Data'!C3:C254)</f>
        <v>18.275737147875475</v>
      </c>
    </row>
    <row r="27" spans="1:6" x14ac:dyDescent="0.2">
      <c r="A27" s="11" t="s">
        <v>49</v>
      </c>
      <c r="B27" s="12">
        <f>STDEV('2_Raw_Data'!D3:D254)</f>
        <v>17.42865231472647</v>
      </c>
    </row>
    <row r="28" spans="1:6" x14ac:dyDescent="0.2">
      <c r="A28" s="11" t="s">
        <v>50</v>
      </c>
      <c r="B28" s="12">
        <f>STDEV('2_Raw_Data'!E3:E254)</f>
        <v>12.058422342943933</v>
      </c>
    </row>
    <row r="29" spans="1:6" x14ac:dyDescent="0.2">
      <c r="A29" s="11" t="s">
        <v>51</v>
      </c>
      <c r="B29" s="12">
        <f>STDEV('2_Raw_Data'!F3:F254)</f>
        <v>59.781223441997888</v>
      </c>
    </row>
    <row r="30" spans="1:6" x14ac:dyDescent="0.2">
      <c r="B30">
        <v>12</v>
      </c>
    </row>
  </sheetData>
  <mergeCells count="5">
    <mergeCell ref="A24:F24"/>
    <mergeCell ref="A10:F10"/>
    <mergeCell ref="A1:F1"/>
    <mergeCell ref="A17:F17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showGridLines="0" workbookViewId="0">
      <selection sqref="A1:C1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55" customWidth="1"/>
  </cols>
  <sheetData>
    <row r="1" spans="1:3" ht="28" customHeight="1" x14ac:dyDescent="0.2">
      <c r="A1" s="25" t="s">
        <v>52</v>
      </c>
      <c r="B1" s="17"/>
      <c r="C1" s="17"/>
    </row>
    <row r="3" spans="1:3" x14ac:dyDescent="0.2">
      <c r="A3" s="26" t="s">
        <v>30</v>
      </c>
      <c r="B3" s="17"/>
      <c r="C3" s="17"/>
    </row>
    <row r="4" spans="1:3" x14ac:dyDescent="0.2">
      <c r="A4" s="13" t="s">
        <v>31</v>
      </c>
      <c r="B4" s="14" t="s">
        <v>53</v>
      </c>
      <c r="C4" s="15">
        <f>AVERAGE('2_Raw_Data'!B3:B254)</f>
        <v>218.32888888888877</v>
      </c>
    </row>
    <row r="5" spans="1:3" x14ac:dyDescent="0.2">
      <c r="A5" s="13" t="s">
        <v>32</v>
      </c>
      <c r="B5" s="14" t="s">
        <v>54</v>
      </c>
      <c r="C5" s="15">
        <f>AVERAGE('2_Raw_Data'!C3:C254)</f>
        <v>405.28547619047617</v>
      </c>
    </row>
    <row r="6" spans="1:3" x14ac:dyDescent="0.2">
      <c r="A6" s="13" t="s">
        <v>33</v>
      </c>
      <c r="B6" s="14" t="s">
        <v>55</v>
      </c>
      <c r="C6" s="15">
        <f>MAX('2_Raw_Data'!F3:F254)</f>
        <v>343.36</v>
      </c>
    </row>
    <row r="7" spans="1:3" x14ac:dyDescent="0.2">
      <c r="A7" s="13" t="s">
        <v>34</v>
      </c>
      <c r="B7" s="14" t="s">
        <v>56</v>
      </c>
      <c r="C7" s="15">
        <f>MIN('2_Raw_Data'!E3:E254)</f>
        <v>123.47</v>
      </c>
    </row>
    <row r="8" spans="1:3" x14ac:dyDescent="0.2">
      <c r="A8" s="13" t="s">
        <v>35</v>
      </c>
      <c r="B8" s="14" t="s">
        <v>57</v>
      </c>
      <c r="C8" s="15">
        <f>COUNT('2_Raw_Data'!B3:B254)</f>
        <v>252</v>
      </c>
    </row>
    <row r="9" spans="1:3" x14ac:dyDescent="0.2">
      <c r="A9" s="26" t="s">
        <v>36</v>
      </c>
      <c r="B9" s="17"/>
      <c r="C9" s="17"/>
    </row>
    <row r="10" spans="1:3" x14ac:dyDescent="0.2">
      <c r="A10" s="13" t="s">
        <v>37</v>
      </c>
      <c r="B10" s="14" t="s">
        <v>58</v>
      </c>
      <c r="C10" s="15">
        <f>('2_Raw_Data'!B254-'2_Raw_Data'!B3)/'2_Raw_Data'!B3</f>
        <v>0.44657534246575342</v>
      </c>
    </row>
    <row r="11" spans="1:3" x14ac:dyDescent="0.2">
      <c r="A11" s="13" t="s">
        <v>38</v>
      </c>
      <c r="B11" s="14" t="s">
        <v>59</v>
      </c>
      <c r="C11" s="15">
        <f>('2_Raw_Data'!C254-'2_Raw_Data'!C3)/'2_Raw_Data'!C3</f>
        <v>2.8074866310160733E-3</v>
      </c>
    </row>
    <row r="12" spans="1:3" x14ac:dyDescent="0.2">
      <c r="A12" s="13" t="s">
        <v>39</v>
      </c>
      <c r="B12" s="14" t="s">
        <v>60</v>
      </c>
      <c r="C12" s="15">
        <f>('2_Raw_Data'!D254-'2_Raw_Data'!D3)/'2_Raw_Data'!D3</f>
        <v>-0.16271794871794867</v>
      </c>
    </row>
    <row r="13" spans="1:3" x14ac:dyDescent="0.2">
      <c r="A13" s="13" t="s">
        <v>40</v>
      </c>
      <c r="B13" s="14" t="s">
        <v>61</v>
      </c>
      <c r="C13" s="15">
        <f>('2_Raw_Data'!E254-'2_Raw_Data'!E3)/'2_Raw_Data'!E3</f>
        <v>-0.16088607594936702</v>
      </c>
    </row>
    <row r="14" spans="1:3" x14ac:dyDescent="0.2">
      <c r="A14" s="13" t="s">
        <v>41</v>
      </c>
      <c r="B14" s="14" t="s">
        <v>62</v>
      </c>
      <c r="C14" s="15">
        <f>('2_Raw_Data'!F254-'2_Raw_Data'!F3)/'2_Raw_Data'!F3</f>
        <v>-0.41979591836734692</v>
      </c>
    </row>
    <row r="15" spans="1:3" x14ac:dyDescent="0.2">
      <c r="A15" s="26" t="s">
        <v>42</v>
      </c>
      <c r="B15" s="17"/>
      <c r="C15" s="17"/>
    </row>
    <row r="16" spans="1:3" x14ac:dyDescent="0.2">
      <c r="A16" s="13" t="s">
        <v>43</v>
      </c>
      <c r="B16" s="14" t="s">
        <v>63</v>
      </c>
      <c r="C16" s="15" t="s">
        <v>7</v>
      </c>
    </row>
    <row r="17" spans="1:3" x14ac:dyDescent="0.2">
      <c r="A17" s="13" t="s">
        <v>3</v>
      </c>
      <c r="B17" s="14" t="s">
        <v>64</v>
      </c>
      <c r="C17" s="15" t="e">
        <f>VLOOKUP(B18,'1_Company_Info'!A5:E9,2,FALSE)</f>
        <v>#N/A</v>
      </c>
    </row>
    <row r="18" spans="1:3" x14ac:dyDescent="0.2">
      <c r="A18" s="13" t="s">
        <v>4</v>
      </c>
      <c r="B18" s="14" t="s">
        <v>65</v>
      </c>
      <c r="C18" s="15" t="e">
        <f>VLOOKUP(B18,'1_Company_Info'!A5:E9,3,FALSE)</f>
        <v>#N/A</v>
      </c>
    </row>
    <row r="19" spans="1:3" x14ac:dyDescent="0.2">
      <c r="A19" s="13" t="s">
        <v>44</v>
      </c>
      <c r="B19" s="14" t="s">
        <v>66</v>
      </c>
      <c r="C19" s="15" t="e">
        <f>VLOOKUP(B18,'1_Company_Info'!A5:E9,4,FALSE)</f>
        <v>#N/A</v>
      </c>
    </row>
    <row r="20" spans="1:3" x14ac:dyDescent="0.2">
      <c r="A20" s="13" t="s">
        <v>45</v>
      </c>
      <c r="B20" s="14" t="s">
        <v>67</v>
      </c>
      <c r="C20" s="15" t="e">
        <f>VLOOKUP(B18,'1_Company_Info'!A5:E9,5,FALSE)</f>
        <v>#N/A</v>
      </c>
    </row>
    <row r="21" spans="1:3" x14ac:dyDescent="0.2">
      <c r="A21" s="26" t="s">
        <v>46</v>
      </c>
      <c r="B21" s="17"/>
      <c r="C21" s="17"/>
    </row>
    <row r="22" spans="1:3" x14ac:dyDescent="0.2">
      <c r="A22" s="13" t="s">
        <v>47</v>
      </c>
      <c r="B22" s="14" t="s">
        <v>68</v>
      </c>
      <c r="C22" s="15">
        <f>STDEV('2_Raw_Data'!B3:B254)</f>
        <v>33.987383274800031</v>
      </c>
    </row>
    <row r="23" spans="1:3" x14ac:dyDescent="0.2">
      <c r="A23" s="13" t="s">
        <v>48</v>
      </c>
      <c r="B23" s="14" t="s">
        <v>69</v>
      </c>
      <c r="C23" s="15">
        <f>STDEV('2_Raw_Data'!C3:C254)</f>
        <v>18.275737147875475</v>
      </c>
    </row>
    <row r="24" spans="1:3" x14ac:dyDescent="0.2">
      <c r="A24" s="13" t="s">
        <v>49</v>
      </c>
      <c r="B24" s="14" t="s">
        <v>70</v>
      </c>
      <c r="C24" s="15">
        <f>STDEV('2_Raw_Data'!D3:D254)</f>
        <v>17.42865231472647</v>
      </c>
    </row>
    <row r="25" spans="1:3" x14ac:dyDescent="0.2">
      <c r="A25" s="13" t="s">
        <v>50</v>
      </c>
      <c r="B25" s="14" t="s">
        <v>71</v>
      </c>
      <c r="C25" s="15">
        <f>STDEV('2_Raw_Data'!E3:E254)</f>
        <v>12.058422342943933</v>
      </c>
    </row>
    <row r="26" spans="1:3" x14ac:dyDescent="0.2">
      <c r="A26" s="13" t="s">
        <v>51</v>
      </c>
      <c r="B26" s="14" t="s">
        <v>72</v>
      </c>
      <c r="C26" s="15">
        <f>STDEV('2_Raw_Data'!F3:F254)</f>
        <v>59.781223441997888</v>
      </c>
    </row>
  </sheetData>
  <mergeCells count="5">
    <mergeCell ref="A1:C1"/>
    <mergeCell ref="A9:C9"/>
    <mergeCell ref="A3:C3"/>
    <mergeCell ref="A21:C2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1_Company_Info</vt:lpstr>
      <vt:lpstr>2_Raw_Data</vt:lpstr>
      <vt:lpstr>3_Analysis_YOU_DO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Sai DAMERA</cp:lastModifiedBy>
  <dcterms:created xsi:type="dcterms:W3CDTF">2026-05-12T22:57:59Z</dcterms:created>
  <dcterms:modified xsi:type="dcterms:W3CDTF">2026-05-13T00:12:03Z</dcterms:modified>
</cp:coreProperties>
</file>