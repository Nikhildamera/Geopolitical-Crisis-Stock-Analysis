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khil.dameraicloud.com/Downloads/Bussines analytics/Ex/"/>
    </mc:Choice>
  </mc:AlternateContent>
  <xr:revisionPtr revIDLastSave="0" documentId="8_{1B8E9188-F9EC-8A43-B724-7E7596D098CF}" xr6:coauthVersionLast="47" xr6:coauthVersionMax="47" xr10:uidLastSave="{00000000-0000-0000-0000-000000000000}"/>
  <bookViews>
    <workbookView xWindow="0" yWindow="500" windowWidth="28800" windowHeight="15980" tabRatio="500" activeTab="3" xr2:uid="{00000000-000D-0000-FFFF-FFFF00000000}"/>
  </bookViews>
  <sheets>
    <sheet name="1_Crisis_Background" sheetId="1" r:id="rId1"/>
    <sheet name="2_Stock_Price_Data" sheetId="2" r:id="rId2"/>
    <sheet name="3_Sector_Impact" sheetId="3" r:id="rId3"/>
    <sheet name="4_My_Analysis" sheetId="4" r:id="rId4"/>
    <sheet name="5_DASHBOARD" sheetId="5" r:id="rId5"/>
    <sheet name="6_My_Conclusion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4" l="1"/>
  <c r="B14" i="4"/>
  <c r="B13" i="4"/>
  <c r="B12" i="4"/>
  <c r="B11" i="4"/>
  <c r="B29" i="4"/>
  <c r="B28" i="4"/>
  <c r="B27" i="4"/>
  <c r="B26" i="4"/>
  <c r="B25" i="4"/>
  <c r="B22" i="4"/>
  <c r="B21" i="4"/>
  <c r="B20" i="4"/>
  <c r="B19" i="4"/>
  <c r="B8" i="4"/>
  <c r="B7" i="4"/>
  <c r="B6" i="4"/>
  <c r="B5" i="4"/>
</calcChain>
</file>

<file path=xl/sharedStrings.xml><?xml version="1.0" encoding="utf-8"?>
<sst xmlns="http://schemas.openxmlformats.org/spreadsheetml/2006/main" count="308" uniqueCount="237">
  <si>
    <t>🌍  US-Iran War 2026 — Stock Market Crisis Analysis</t>
  </si>
  <si>
    <t>Analysing how the US-Iran conflict (March 2026) crashed global markets — Winners, Losers &amp; Key Lessons</t>
  </si>
  <si>
    <t>📌 What Happened?</t>
  </si>
  <si>
    <t>Date</t>
  </si>
  <si>
    <t>Event</t>
  </si>
  <si>
    <t>March 3, 2026</t>
  </si>
  <si>
    <t>Israel strikes Iran nuclear facilities — war begins</t>
  </si>
  <si>
    <t>Dow Jones tumbles 1,200 points at market open</t>
  </si>
  <si>
    <t>March 9, 2026</t>
  </si>
  <si>
    <t>Brent crude oil hits $120/barrel — highest since 2022</t>
  </si>
  <si>
    <t>S&amp;P 500 wipes ALL 2026 gains in single session</t>
  </si>
  <si>
    <t>March 12, 2026</t>
  </si>
  <si>
    <t>SPY ETF down 7.9%, QQQ down 8.2% for the month</t>
  </si>
  <si>
    <t>March 24, 2026</t>
  </si>
  <si>
    <t>Iran charges $2M per ship through Strait of Hormuz</t>
  </si>
  <si>
    <t>March 31, 2026</t>
  </si>
  <si>
    <t>Iran signals peace talks — markets surge 3% relief rally</t>
  </si>
  <si>
    <t>April 2026</t>
  </si>
  <si>
    <t>Ceasefire announced — partial recovery begins</t>
  </si>
  <si>
    <t>📊 Key Market Numbers</t>
  </si>
  <si>
    <t>Index/Asset</t>
  </si>
  <si>
    <t>Pre-War (Feb)</t>
  </si>
  <si>
    <t>Crisis Low (Mar)</t>
  </si>
  <si>
    <t>Change</t>
  </si>
  <si>
    <t>Impact</t>
  </si>
  <si>
    <t>S&amp;P 500</t>
  </si>
  <si>
    <t>6,144</t>
  </si>
  <si>
    <t>5,700</t>
  </si>
  <si>
    <t>-7.2%</t>
  </si>
  <si>
    <t>🔴 Worst month in a year</t>
  </si>
  <si>
    <t>Dow Jones</t>
  </si>
  <si>
    <t>44,500</t>
  </si>
  <si>
    <t>41,200</t>
  </si>
  <si>
    <t>-7.4%</t>
  </si>
  <si>
    <t>🔴 Down 1,200 pts in one day</t>
  </si>
  <si>
    <t>Nasdaq</t>
  </si>
  <si>
    <t>20,100</t>
  </si>
  <si>
    <t>18,500</t>
  </si>
  <si>
    <t>-8.0%</t>
  </si>
  <si>
    <t>🔴 Tech stocks hammered</t>
  </si>
  <si>
    <t>Brent Crude</t>
  </si>
  <si>
    <t>$72/bbl</t>
  </si>
  <si>
    <t>$120/bbl</t>
  </si>
  <si>
    <t>+66.7%</t>
  </si>
  <si>
    <t>🟢 Oil biggest winner</t>
  </si>
  <si>
    <t>WTI Crude</t>
  </si>
  <si>
    <t>$68/bbl</t>
  </si>
  <si>
    <t>$100/bbl</t>
  </si>
  <si>
    <t>+47%</t>
  </si>
  <si>
    <t>🟢 Above $100 for first time</t>
  </si>
  <si>
    <t>Gold</t>
  </si>
  <si>
    <t>$2,850</t>
  </si>
  <si>
    <t>$2,420</t>
  </si>
  <si>
    <t>-15.4%</t>
  </si>
  <si>
    <t>🔴 Unusual safe haven failure</t>
  </si>
  <si>
    <t>VIX Fear</t>
  </si>
  <si>
    <t>14.2</t>
  </si>
  <si>
    <t>32.5</t>
  </si>
  <si>
    <t>+128%</t>
  </si>
  <si>
    <t>🔴 Fear index exploded</t>
  </si>
  <si>
    <t>📈  Monthly Stock Prices During US-Iran War Crisis — Jan to Apr 2026</t>
  </si>
  <si>
    <t>Stocks selected to show CONTRASTING impacts — Tech (losers) vs Energy/Defence (winners)</t>
  </si>
  <si>
    <t>Company Reference</t>
  </si>
  <si>
    <t>Ticker</t>
  </si>
  <si>
    <t>Company</t>
  </si>
  <si>
    <t>Sector</t>
  </si>
  <si>
    <t>Jan Price</t>
  </si>
  <si>
    <t>Apr Price</t>
  </si>
  <si>
    <t>AAPL</t>
  </si>
  <si>
    <t>Apple Inc.</t>
  </si>
  <si>
    <t>Technology</t>
  </si>
  <si>
    <t>MSFT</t>
  </si>
  <si>
    <t>Microsoft Corp.</t>
  </si>
  <si>
    <t>XOM</t>
  </si>
  <si>
    <t>ExxonMobil</t>
  </si>
  <si>
    <t>Energy</t>
  </si>
  <si>
    <t>LMT</t>
  </si>
  <si>
    <t>Lockheed Martin</t>
  </si>
  <si>
    <t>Defence</t>
  </si>
  <si>
    <t>JPM</t>
  </si>
  <si>
    <t>JPMorgan Chase</t>
  </si>
  <si>
    <t>Finance</t>
  </si>
  <si>
    <t>Monthly Closing Prices</t>
  </si>
  <si>
    <t>Month</t>
  </si>
  <si>
    <t>Jan 2026 (Pre-War)</t>
  </si>
  <si>
    <t>Feb 2026 (Pre-War Peak)</t>
  </si>
  <si>
    <t>Mar 2026 ⚠️ WAR CRASH</t>
  </si>
  <si>
    <t>Apr 2026 (Recovery)</t>
  </si>
  <si>
    <t>Return % Analysis (Jan to Apr 2026)</t>
  </si>
  <si>
    <t>Return %</t>
  </si>
  <si>
    <t>Winner/Loser</t>
  </si>
  <si>
    <t>🔴 LOSER</t>
  </si>
  <si>
    <t>🟢 WINNER</t>
  </si>
  <si>
    <t>⚡  Sector-by-Sector Impact Analysis — US-Iran War 2026</t>
  </si>
  <si>
    <t>Not all sectors are equal during a crisis — this is what separates smart investors from everyone else</t>
  </si>
  <si>
    <t>Sector Impact During US-Iran War Crisis</t>
  </si>
  <si>
    <t>Key Stocks</t>
  </si>
  <si>
    <t>Price Change</t>
  </si>
  <si>
    <t>Why?</t>
  </si>
  <si>
    <t>AAPL, MSFT, NVDA</t>
  </si>
  <si>
    <t>-8% to -13%</t>
  </si>
  <si>
    <t>🔴 Hard Hit</t>
  </si>
  <si>
    <t>AI spending fears + inflation pressure</t>
  </si>
  <si>
    <t>XOM, CVX</t>
  </si>
  <si>
    <t>+15% to +20%</t>
  </si>
  <si>
    <t>🟢 Big Winner</t>
  </si>
  <si>
    <t>Oil price surge to $120/barrel</t>
  </si>
  <si>
    <t>LMT, RTX, NOC</t>
  </si>
  <si>
    <t>+25% to +30%</t>
  </si>
  <si>
    <t>$4.76B Pentagon contract awarded</t>
  </si>
  <si>
    <t>Airlines</t>
  </si>
  <si>
    <t>AAL, UAL</t>
  </si>
  <si>
    <t>-3% to -5%</t>
  </si>
  <si>
    <t>Jet fuel costs surge on oil shock</t>
  </si>
  <si>
    <t>Semiconductors</t>
  </si>
  <si>
    <t>NVDA, MU, AMAT</t>
  </si>
  <si>
    <t>-6% to -9%</t>
  </si>
  <si>
    <t>Supply chain fears + risk-off</t>
  </si>
  <si>
    <t>JPM, BAC</t>
  </si>
  <si>
    <t>-5% to -8%</t>
  </si>
  <si>
    <t>🟠 Mixed</t>
  </si>
  <si>
    <t>Rate uncertainty from Fed dilemma</t>
  </si>
  <si>
    <t>Agriculture</t>
  </si>
  <si>
    <t>MOS, CF</t>
  </si>
  <si>
    <t>+50% to +58%</t>
  </si>
  <si>
    <t>Fertiliser up 28% in 3 weeks</t>
  </si>
  <si>
    <t>Consumer Staples</t>
  </si>
  <si>
    <t>PG, KO</t>
  </si>
  <si>
    <t>+2% to +3%</t>
  </si>
  <si>
    <t>🟡 Safe Haven</t>
  </si>
  <si>
    <t>Investors rotate to defensive stocks</t>
  </si>
  <si>
    <t>🧠 WHY Did This Happen?</t>
  </si>
  <si>
    <t>Oil Price Shock</t>
  </si>
  <si>
    <t>Strait of Hormuz carries 20% of global oil. Iran blocking it = instant oil shortage = prices surge to $120/barrel</t>
  </si>
  <si>
    <t>Inflation Fear</t>
  </si>
  <si>
    <t>Higher oil = higher transport costs = everything gets more expensive = Federal Reserve cannot cut interest rates</t>
  </si>
  <si>
    <t>Tech Stocks Fall</t>
  </si>
  <si>
    <t>Higher rates hurt tech companies (they borrow money to grow). Also supply chain fears for semiconductors from Asia</t>
  </si>
  <si>
    <t>Defence Stocks Rise</t>
  </si>
  <si>
    <t>War = governments spend more on weapons. Pentagon awarded LMT a $4.76 billion missile contract immediately</t>
  </si>
  <si>
    <t>Energy Stocks Rise</t>
  </si>
  <si>
    <t>ExxonMobil moved production to US Permian Basin away from Middle East — so higher oil prices = pure profit for them</t>
  </si>
  <si>
    <t>Safe Haven Shift</t>
  </si>
  <si>
    <t>Investors moved money from risky tech into stable sectors like Consumer Staples, Defence and Energy</t>
  </si>
  <si>
    <t>📊  My Analysis — US-Iran War Stock Market Impact</t>
  </si>
  <si>
    <t>All formulas reference 2_Stock_Price_Data sheet — showing real crisis analysis skills</t>
  </si>
  <si>
    <t>📌 SECTION 1: Basic Price Statistics</t>
  </si>
  <si>
    <t>Highest Price — LMT (Defence Winner)</t>
  </si>
  <si>
    <t>Defence stocks hit record highs during war</t>
  </si>
  <si>
    <t>Lowest Price — AAPL (Tech Loser)</t>
  </si>
  <si>
    <t>Tech stocks crashed in March 2026</t>
  </si>
  <si>
    <t>Average Oil Impact Month — XOM</t>
  </si>
  <si>
    <t>Energy avg during crisis period</t>
  </si>
  <si>
    <t>Months of Data Analysed</t>
  </si>
  <si>
    <t>4 months Jan-Apr 2026</t>
  </si>
  <si>
    <t>📈 SECTION 2: Return % (Crisis Impact)</t>
  </si>
  <si>
    <t>AAPL Return % (Tech Loser)</t>
  </si>
  <si>
    <t>Lost value due to inflation fears</t>
  </si>
  <si>
    <t>MSFT Return % (Tech Loser)</t>
  </si>
  <si>
    <t>Tech sector broadly sold off</t>
  </si>
  <si>
    <t>XOM Return % (Energy Winner)</t>
  </si>
  <si>
    <t>Oil price surge = huge profits</t>
  </si>
  <si>
    <t>LMT Return % (Defence Winner)</t>
  </si>
  <si>
    <t>War spending = defence stocks soar</t>
  </si>
  <si>
    <t>JPM Return % (Finance Mixed)</t>
  </si>
  <si>
    <t>Rate uncertainty hit banks</t>
  </si>
  <si>
    <t>🔍 SECTION 3: VLOOKUP — Stock Info Finder</t>
  </si>
  <si>
    <t>Enter Ticker (try LMT or XOM)</t>
  </si>
  <si>
    <t>Change this to look up any stock!</t>
  </si>
  <si>
    <t>Company Name</t>
  </si>
  <si>
    <t>Pulls company name automatically</t>
  </si>
  <si>
    <t>Shows which sector it belongs to</t>
  </si>
  <si>
    <t>Price before the war started</t>
  </si>
  <si>
    <t>Price after crisis stabilised</t>
  </si>
  <si>
    <t>⚡ SECTION 4: Volatility = Risk During Crisis</t>
  </si>
  <si>
    <t>AAPL Volatility (σ)</t>
  </si>
  <si>
    <t>How wildly Apple price swung</t>
  </si>
  <si>
    <t>MSFT Volatility (σ)</t>
  </si>
  <si>
    <t>Microsoft price swings</t>
  </si>
  <si>
    <t>XOM Volatility (σ)</t>
  </si>
  <si>
    <t>ExxonMobil — high vol = high gain</t>
  </si>
  <si>
    <t>LMT Volatility (σ)</t>
  </si>
  <si>
    <t>LMT surged = high volatility too</t>
  </si>
  <si>
    <t>JPM Volatility (σ)</t>
  </si>
  <si>
    <t>Banks most stable of the group</t>
  </si>
  <si>
    <t>🚨   US-IRAN WAR 2026 — STOCK MARKET CRISIS DASHBOARD</t>
  </si>
  <si>
    <t>War began March 3, 2026 • S&amp;P 500 wiped all yearly gains • Oil hit $120/barrel • Winners: Defence &amp; Energy  |  Losers: Tech &amp; Airlines</t>
  </si>
  <si>
    <t>📅 Crisis Started</t>
  </si>
  <si>
    <t>📉 S&amp;P 500 Drop</t>
  </si>
  <si>
    <t>🛢️ Oil Price Peak</t>
  </si>
  <si>
    <t>🏆 Best Stock</t>
  </si>
  <si>
    <t>📉 Worst Stock</t>
  </si>
  <si>
    <t>😱 VIX Fear Index</t>
  </si>
  <si>
    <t>-7.2% in March</t>
  </si>
  <si>
    <t>$120 / barrel</t>
  </si>
  <si>
    <t>LMT +22.9%</t>
  </si>
  <si>
    <t>AAPL -7.4%</t>
  </si>
  <si>
    <t>+128% spike</t>
  </si>
  <si>
    <t>📊 Stock Performance Summary — Crisis Period</t>
  </si>
  <si>
    <t>💡 Key Insights &amp; Lessons</t>
  </si>
  <si>
    <t>Stock</t>
  </si>
  <si>
    <t>Jan $</t>
  </si>
  <si>
    <t>Mar $ (Crash)</t>
  </si>
  <si>
    <t>Apr $</t>
  </si>
  <si>
    <t>Return</t>
  </si>
  <si>
    <t>Verdict</t>
  </si>
  <si>
    <t>Lost during crisis 📉</t>
  </si>
  <si>
    <t>🚨 S&amp;P 500 lost ALL 2026 gains in just one month (March)</t>
  </si>
  <si>
    <t>🛢️ Oil hit $120/barrel — highest since June 2022</t>
  </si>
  <si>
    <t>Oil boom winner 🛢️</t>
  </si>
  <si>
    <t>🏆 LMT +22.9% — War = instant defence spending boost</t>
  </si>
  <si>
    <t>War contract winner 🏆</t>
  </si>
  <si>
    <t>📉 AAPL -7.4% — Tech suffers when rates stay high</t>
  </si>
  <si>
    <t>Mixed — rate fears 🏦</t>
  </si>
  <si>
    <t>⚡ VIX fear index surged 128% — extreme panic in markets</t>
  </si>
  <si>
    <t>🔄 Investors rotated: sold Tech → bought Energy &amp; Defence</t>
  </si>
  <si>
    <t>📚 Lesson: Diversification across sectors protects portfolio</t>
  </si>
  <si>
    <t>💰 Crisis creates OPPORTUNITY for informed investors</t>
  </si>
  <si>
    <t>Jan</t>
  </si>
  <si>
    <t>Feb</t>
  </si>
  <si>
    <t>Mar</t>
  </si>
  <si>
    <t>Apr</t>
  </si>
  <si>
    <t>📝  My Conclusions — US-Iran War Stock Market Analysis</t>
  </si>
  <si>
    <t>📌 What I Analysed</t>
  </si>
  <si>
    <t>I analysed the impact of the US-Iran War (March 2026) on 5 major US stocks across different sectors — Technology (AAPL, MSFT), Energy (XOM), Defence (LMT) and Finance (JPM) — covering the period January to April 2026.</t>
  </si>
  <si>
    <t>📌 Key Finding 1 — Not All Stocks Crash in a War</t>
  </si>
  <si>
    <t>While AAPL lost 7.4% and MSFT lost 7.2%, Lockheed Martin (LMT) gained 22.9% and ExxonMobil (XOM) gained 20.7%. This shows that sector selection is critical during geopolitical crises.</t>
  </si>
  <si>
    <t>📌 Key Finding 2 — Oil Is the Trigger</t>
  </si>
  <si>
    <t>The Strait of Hormuz carries 20% of global oil supply. When Iran threatened this route, oil surged from $72 to $120 per barrel (+66.7%). This one fact explains almost every market move in March 2026.</t>
  </si>
  <si>
    <t>📌 Key Finding 3 — Fear Spreads Fast</t>
  </si>
  <si>
    <t>The VIX fear index surged 128% in days. Within hours of war news, 90% of S&amp;P 500 stocks were red and the Dow fell 1,200 points. Markets react to emotion first, then fundamentals.</t>
  </si>
  <si>
    <t>📌 Key Finding 4 — Defence Stocks Are Crisis Winners</t>
  </si>
  <si>
    <t>Lockheed Martin received a $4.76 billion Pentagon contract within weeks of the war starting. War = guaranteed government spending = defence stocks surge. LMT hit all-time highs during the crisis.</t>
  </si>
  <si>
    <t>📌 What I Learned from This Project</t>
  </si>
  <si>
    <t>This project taught me how to use Excel for real-world financial analysis — using AVERAGE, MAX, MIN, STDEV, VLOOKUP and return % formulas on actual crisis data. Most importantly I learned that understanding WHY markets move is just as important as knowing HOW to analyse the data.</t>
  </si>
  <si>
    <t>📌 My Investment Conclusion</t>
  </si>
  <si>
    <t>In a geopolitical crisis, a smart investor would: (1) Reduce tech exposure, (2) Increase energy holdings, (3) Add defence stocks, (4) Hold consumer staples as safe haven. This is called sector rotation and it is used by professional fund managers every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</si>
</sst>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9" x14ac:knownFonts="1">
    <font>
      <sz val="11"/>
      <color theme="1"/>
      <name val="Calibri"/>
      <family val="2"/>
      <charset val="1"/>
    </font>
    <font>
      <b/>
      <sz val="18"/>
      <color rgb="FFFFFFFF"/>
      <name val="Arial"/>
      <family val="2"/>
    </font>
    <font>
      <b/>
      <sz val="12"/>
      <color rgb="FFFFFFFF"/>
      <name val="Arial"/>
      <family val="2"/>
    </font>
    <font>
      <b/>
      <sz val="10"/>
      <color rgb="FFFFFFFF"/>
      <name val="Arial"/>
      <family val="2"/>
    </font>
    <font>
      <b/>
      <sz val="10"/>
      <color rgb="FFC00000"/>
      <name val="Arial"/>
      <family val="2"/>
    </font>
    <font>
      <sz val="10"/>
      <name val="Arial"/>
      <family val="2"/>
    </font>
    <font>
      <b/>
      <sz val="10"/>
      <color rgb="FF000000"/>
      <name val="Arial"/>
      <family val="2"/>
    </font>
    <font>
      <sz val="10"/>
      <color rgb="FF000000"/>
      <name val="Arial"/>
      <family val="2"/>
    </font>
    <font>
      <b/>
      <sz val="10"/>
      <color rgb="FF375623"/>
      <name val="Arial"/>
      <family val="2"/>
    </font>
    <font>
      <b/>
      <sz val="14"/>
      <color rgb="FFFFFFFF"/>
      <name val="Arial"/>
      <family val="2"/>
    </font>
    <font>
      <b/>
      <sz val="11"/>
      <color rgb="FFFFFFFF"/>
      <name val="Arial"/>
      <family val="2"/>
    </font>
    <font>
      <b/>
      <sz val="10"/>
      <color rgb="FF1F4E79"/>
      <name val="Arial"/>
      <family val="2"/>
    </font>
    <font>
      <b/>
      <sz val="10"/>
      <color rgb="FFC55A11"/>
      <name val="Arial"/>
      <family val="2"/>
    </font>
    <font>
      <b/>
      <sz val="16"/>
      <color rgb="FFFFFFFF"/>
      <name val="Arial"/>
      <family val="2"/>
    </font>
    <font>
      <b/>
      <sz val="15"/>
      <color rgb="FFFFFFFF"/>
      <name val="Arial"/>
      <family val="2"/>
    </font>
    <font>
      <i/>
      <sz val="10"/>
      <color rgb="FF595959"/>
      <name val="Arial"/>
      <family val="2"/>
    </font>
    <font>
      <b/>
      <sz val="10"/>
      <name val="Arial"/>
      <family val="2"/>
    </font>
    <font>
      <b/>
      <sz val="12"/>
      <color rgb="FF0070C0"/>
      <name val="Arial"/>
      <family val="2"/>
    </font>
    <font>
      <b/>
      <sz val="20"/>
      <color rgb="FFFFFFFF"/>
      <name val="Arial"/>
      <family val="2"/>
    </font>
    <font>
      <b/>
      <sz val="13"/>
      <color rgb="FF1F4E79"/>
      <name val="Arial"/>
      <family val="2"/>
    </font>
    <font>
      <b/>
      <sz val="13"/>
      <color rgb="FFC00000"/>
      <name val="Arial"/>
      <family val="2"/>
    </font>
    <font>
      <b/>
      <sz val="13"/>
      <color rgb="FFC55A11"/>
      <name val="Arial"/>
      <family val="2"/>
    </font>
    <font>
      <b/>
      <sz val="13"/>
      <color rgb="FF375623"/>
      <name val="Arial"/>
      <family val="2"/>
    </font>
    <font>
      <b/>
      <sz val="13"/>
      <color rgb="FF7030A0"/>
      <name val="Arial"/>
      <family val="2"/>
    </font>
    <font>
      <sz val="11"/>
      <name val="Arial"/>
      <family val="2"/>
    </font>
    <font>
      <i/>
      <sz val="14"/>
      <color rgb="FFFFFFFF"/>
      <name val="Arial"/>
      <family val="2"/>
    </font>
    <font>
      <i/>
      <sz val="12"/>
      <color rgb="FFFFFFFF"/>
      <name val="Arial"/>
      <family val="2"/>
    </font>
    <font>
      <i/>
      <sz val="12"/>
      <color rgb="FF595959"/>
      <name val="Arial"/>
      <family val="2"/>
    </font>
    <font>
      <b/>
      <sz val="12"/>
      <color rgb="FF595959"/>
      <name val="Arial"/>
      <family val="2"/>
    </font>
  </fonts>
  <fills count="18">
    <fill>
      <patternFill patternType="none"/>
    </fill>
    <fill>
      <patternFill patternType="gray125"/>
    </fill>
    <fill>
      <patternFill patternType="solid">
        <fgColor rgb="FFC00000"/>
        <bgColor rgb="FFFF0000"/>
      </patternFill>
    </fill>
    <fill>
      <patternFill patternType="solid">
        <fgColor rgb="FFFF0000"/>
        <bgColor rgb="FFC00000"/>
      </patternFill>
    </fill>
    <fill>
      <patternFill patternType="solid">
        <fgColor rgb="FF1F4E79"/>
        <bgColor rgb="FF003366"/>
      </patternFill>
    </fill>
    <fill>
      <patternFill patternType="solid">
        <fgColor rgb="FF2E75B6"/>
        <bgColor rgb="FF4472C4"/>
      </patternFill>
    </fill>
    <fill>
      <patternFill patternType="solid">
        <fgColor rgb="FFFCE4D6"/>
        <bgColor rgb="FFFFF2CC"/>
      </patternFill>
    </fill>
    <fill>
      <patternFill patternType="solid">
        <fgColor rgb="FFFFFFFF"/>
        <bgColor rgb="FFF9F9F9"/>
      </patternFill>
    </fill>
    <fill>
      <patternFill patternType="solid">
        <fgColor rgb="FF375623"/>
        <bgColor rgb="FF595959"/>
      </patternFill>
    </fill>
    <fill>
      <patternFill patternType="solid">
        <fgColor rgb="FF70AD47"/>
        <bgColor rgb="FF878787"/>
      </patternFill>
    </fill>
    <fill>
      <patternFill patternType="solid">
        <fgColor rgb="FFEBF3FB"/>
        <bgColor rgb="FFF9F9F9"/>
      </patternFill>
    </fill>
    <fill>
      <patternFill patternType="solid">
        <fgColor rgb="FF4472C4"/>
        <bgColor rgb="FF2E75B6"/>
      </patternFill>
    </fill>
    <fill>
      <patternFill patternType="solid">
        <fgColor rgb="FFE2EFDA"/>
        <bgColor rgb="FFEBF3FB"/>
      </patternFill>
    </fill>
    <fill>
      <patternFill patternType="solid">
        <fgColor rgb="FFFFF2CC"/>
        <bgColor rgb="FFFCE4D6"/>
      </patternFill>
    </fill>
    <fill>
      <patternFill patternType="solid">
        <fgColor rgb="FFFFFDE7"/>
        <bgColor rgb="FFF9F9F9"/>
      </patternFill>
    </fill>
    <fill>
      <patternFill patternType="solid">
        <fgColor rgb="FFD6E4F0"/>
        <bgColor rgb="FFD9D9D9"/>
      </patternFill>
    </fill>
    <fill>
      <patternFill patternType="solid">
        <fgColor rgb="FF7030A0"/>
        <bgColor rgb="FF993366"/>
      </patternFill>
    </fill>
    <fill>
      <patternFill patternType="solid">
        <fgColor rgb="FFEAD1DC"/>
        <bgColor rgb="FFD9D9D9"/>
      </patternFill>
    </fill>
  </fills>
  <borders count="4">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s>
  <cellStyleXfs count="1">
    <xf numFmtId="0" fontId="0" fillId="0" borderId="0"/>
  </cellStyleXfs>
  <cellXfs count="89">
    <xf numFmtId="0" fontId="0" fillId="0" borderId="0" xfId="0"/>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7"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10" borderId="2" xfId="0" applyFont="1" applyFill="1" applyBorder="1" applyAlignment="1">
      <alignment horizontal="center" vertical="center"/>
    </xf>
    <xf numFmtId="0" fontId="7" fillId="10" borderId="2" xfId="0" applyFont="1" applyFill="1" applyBorder="1" applyAlignment="1">
      <alignment horizontal="center" vertical="center"/>
    </xf>
    <xf numFmtId="0" fontId="4" fillId="10" borderId="2" xfId="0" applyFont="1" applyFill="1" applyBorder="1" applyAlignment="1">
      <alignment horizontal="center" vertical="center"/>
    </xf>
    <xf numFmtId="0" fontId="6" fillId="7" borderId="2" xfId="0" applyFont="1" applyFill="1" applyBorder="1" applyAlignment="1">
      <alignment horizontal="center" vertical="center"/>
    </xf>
    <xf numFmtId="0" fontId="7" fillId="7"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11" fillId="6" borderId="2" xfId="0" applyFont="1" applyFill="1" applyBorder="1" applyAlignment="1">
      <alignment horizontal="center" vertical="center"/>
    </xf>
    <xf numFmtId="0" fontId="7" fillId="6" borderId="2" xfId="0" applyFont="1" applyFill="1" applyBorder="1" applyAlignment="1">
      <alignment horizontal="center" vertical="center"/>
    </xf>
    <xf numFmtId="164" fontId="7" fillId="6" borderId="2" xfId="0" applyNumberFormat="1" applyFont="1" applyFill="1" applyBorder="1" applyAlignment="1">
      <alignment horizontal="center" vertical="center"/>
    </xf>
    <xf numFmtId="0" fontId="11" fillId="12" borderId="2" xfId="0" applyFont="1" applyFill="1" applyBorder="1" applyAlignment="1">
      <alignment horizontal="center" vertical="center"/>
    </xf>
    <xf numFmtId="0" fontId="7" fillId="12" borderId="2" xfId="0" applyFont="1" applyFill="1" applyBorder="1" applyAlignment="1">
      <alignment horizontal="center" vertical="center"/>
    </xf>
    <xf numFmtId="0" fontId="8" fillId="12" borderId="2" xfId="0" applyFont="1" applyFill="1" applyBorder="1" applyAlignment="1">
      <alignment horizontal="center" vertical="center"/>
    </xf>
    <xf numFmtId="164" fontId="7" fillId="12" borderId="2" xfId="0" applyNumberFormat="1" applyFont="1" applyFill="1" applyBorder="1" applyAlignment="1">
      <alignment horizontal="center" vertical="center"/>
    </xf>
    <xf numFmtId="0" fontId="11" fillId="13" borderId="2" xfId="0" applyFont="1" applyFill="1" applyBorder="1" applyAlignment="1">
      <alignment horizontal="center" vertical="center"/>
    </xf>
    <xf numFmtId="0" fontId="7" fillId="13" borderId="2" xfId="0" applyFont="1" applyFill="1" applyBorder="1" applyAlignment="1">
      <alignment horizontal="center" vertical="center"/>
    </xf>
    <xf numFmtId="0" fontId="12" fillId="13" borderId="2" xfId="0" applyFont="1" applyFill="1" applyBorder="1" applyAlignment="1">
      <alignment horizontal="center" vertical="center"/>
    </xf>
    <xf numFmtId="164" fontId="7" fillId="13" borderId="2" xfId="0" applyNumberFormat="1" applyFont="1" applyFill="1" applyBorder="1" applyAlignment="1">
      <alignment horizontal="center" vertical="center"/>
    </xf>
    <xf numFmtId="164" fontId="7" fillId="10" borderId="2" xfId="0" applyNumberFormat="1" applyFont="1" applyFill="1" applyBorder="1" applyAlignment="1">
      <alignment horizontal="center" vertical="center"/>
    </xf>
    <xf numFmtId="164" fontId="7" fillId="7" borderId="2" xfId="0" applyNumberFormat="1" applyFont="1" applyFill="1" applyBorder="1" applyAlignment="1">
      <alignment horizontal="center" vertical="center"/>
    </xf>
    <xf numFmtId="164" fontId="4" fillId="6"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10" fontId="4" fillId="6" borderId="2" xfId="0" applyNumberFormat="1" applyFont="1" applyFill="1" applyBorder="1" applyAlignment="1">
      <alignment horizontal="center" vertical="center"/>
    </xf>
    <xf numFmtId="10" fontId="8" fillId="12" borderId="2" xfId="0" applyNumberFormat="1" applyFont="1" applyFill="1" applyBorder="1" applyAlignment="1">
      <alignment horizontal="center" vertical="center"/>
    </xf>
    <xf numFmtId="0" fontId="6" fillId="6" borderId="2" xfId="0" applyFont="1" applyFill="1" applyBorder="1" applyAlignment="1">
      <alignment horizontal="center" vertical="center"/>
    </xf>
    <xf numFmtId="0" fontId="6" fillId="12" borderId="2" xfId="0" applyFont="1" applyFill="1" applyBorder="1" applyAlignment="1">
      <alignment horizontal="center" vertical="center"/>
    </xf>
    <xf numFmtId="0" fontId="6" fillId="13" borderId="2" xfId="0" applyFont="1" applyFill="1" applyBorder="1" applyAlignment="1">
      <alignment horizontal="center" vertical="center"/>
    </xf>
    <xf numFmtId="0" fontId="4" fillId="13" borderId="2" xfId="0" applyFont="1" applyFill="1" applyBorder="1" applyAlignment="1">
      <alignment horizontal="center" vertical="center"/>
    </xf>
    <xf numFmtId="0" fontId="6" fillId="14" borderId="2" xfId="0" applyFont="1" applyFill="1" applyBorder="1" applyAlignment="1">
      <alignment horizontal="center" vertical="center"/>
    </xf>
    <xf numFmtId="0" fontId="7" fillId="14" borderId="2" xfId="0" applyFont="1" applyFill="1" applyBorder="1" applyAlignment="1">
      <alignment horizontal="center" vertical="center"/>
    </xf>
    <xf numFmtId="0" fontId="8" fillId="14" borderId="2" xfId="0" applyFont="1" applyFill="1" applyBorder="1" applyAlignment="1">
      <alignment horizontal="center" vertical="center"/>
    </xf>
    <xf numFmtId="0" fontId="11" fillId="10" borderId="2" xfId="0" applyFont="1" applyFill="1" applyBorder="1" applyAlignment="1">
      <alignment horizontal="center" vertical="center"/>
    </xf>
    <xf numFmtId="0" fontId="11" fillId="7" borderId="2" xfId="0" applyFont="1" applyFill="1" applyBorder="1" applyAlignment="1">
      <alignment horizontal="center" vertical="center"/>
    </xf>
    <xf numFmtId="0" fontId="16" fillId="0" borderId="2" xfId="0" applyFont="1" applyBorder="1" applyAlignment="1">
      <alignment horizontal="left" vertical="center" indent="1"/>
    </xf>
    <xf numFmtId="164" fontId="8" fillId="12" borderId="2" xfId="0" applyNumberFormat="1" applyFont="1" applyFill="1" applyBorder="1" applyAlignment="1">
      <alignment horizontal="center" vertical="center"/>
    </xf>
    <xf numFmtId="1" fontId="8" fillId="12" borderId="2" xfId="0" applyNumberFormat="1" applyFont="1" applyFill="1" applyBorder="1" applyAlignment="1">
      <alignment horizontal="center" vertical="center"/>
    </xf>
    <xf numFmtId="0" fontId="17" fillId="13"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6" borderId="1" xfId="0" applyFont="1" applyFill="1" applyBorder="1" applyAlignment="1">
      <alignment horizontal="left" vertical="center"/>
    </xf>
    <xf numFmtId="0" fontId="5" fillId="7" borderId="1" xfId="0" applyFont="1" applyFill="1" applyBorder="1" applyAlignment="1">
      <alignment horizontal="left" vertical="center"/>
    </xf>
    <xf numFmtId="0" fontId="2" fillId="8" borderId="1" xfId="0" applyFont="1" applyFill="1" applyBorder="1" applyAlignment="1">
      <alignment horizontal="center" vertical="center"/>
    </xf>
    <xf numFmtId="0" fontId="1" fillId="2" borderId="0" xfId="0" applyFont="1" applyFill="1" applyAlignment="1">
      <alignment horizontal="center" vertical="center"/>
    </xf>
    <xf numFmtId="0" fontId="25" fillId="3" borderId="0" xfId="0" applyFont="1" applyFill="1" applyAlignment="1">
      <alignment horizontal="center" vertical="center"/>
    </xf>
    <xf numFmtId="0" fontId="2" fillId="4" borderId="1" xfId="0" applyFont="1" applyFill="1" applyBorder="1" applyAlignment="1">
      <alignment horizontal="center" vertical="center"/>
    </xf>
    <xf numFmtId="0" fontId="3" fillId="5" borderId="2" xfId="0" applyFont="1" applyFill="1" applyBorder="1" applyAlignment="1">
      <alignment horizontal="center" vertical="center"/>
    </xf>
    <xf numFmtId="0" fontId="9" fillId="4" borderId="0" xfId="0" applyFont="1" applyFill="1" applyAlignment="1">
      <alignment horizontal="center" vertical="center"/>
    </xf>
    <xf numFmtId="0" fontId="26" fillId="5" borderId="0" xfId="0" applyFont="1" applyFill="1" applyAlignment="1">
      <alignment horizontal="center" vertical="center"/>
    </xf>
    <xf numFmtId="0" fontId="10" fillId="5"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5" fillId="10" borderId="1" xfId="0" applyFont="1" applyFill="1" applyBorder="1" applyAlignment="1">
      <alignment horizontal="left" vertical="center" wrapText="1" indent="1"/>
    </xf>
    <xf numFmtId="0" fontId="5" fillId="7" borderId="1" xfId="0" applyFont="1" applyFill="1" applyBorder="1" applyAlignment="1">
      <alignment horizontal="left" vertical="center" wrapText="1" indent="1"/>
    </xf>
    <xf numFmtId="0" fontId="5" fillId="12" borderId="1" xfId="0" applyFont="1" applyFill="1" applyBorder="1" applyAlignment="1">
      <alignment horizontal="left" vertical="center" indent="1"/>
    </xf>
    <xf numFmtId="0" fontId="5" fillId="14" borderId="1" xfId="0" applyFont="1" applyFill="1" applyBorder="1" applyAlignment="1">
      <alignment horizontal="left" vertical="center" indent="1"/>
    </xf>
    <xf numFmtId="0" fontId="5" fillId="6" borderId="1" xfId="0" applyFont="1" applyFill="1" applyBorder="1" applyAlignment="1">
      <alignment horizontal="left" vertical="center" indent="1"/>
    </xf>
    <xf numFmtId="0" fontId="5" fillId="13" borderId="1" xfId="0" applyFont="1" applyFill="1" applyBorder="1" applyAlignment="1">
      <alignment horizontal="left" vertical="center" indent="1"/>
    </xf>
    <xf numFmtId="0" fontId="13" fillId="2" borderId="0" xfId="0" applyFont="1" applyFill="1" applyAlignment="1">
      <alignment horizontal="center" vertical="center"/>
    </xf>
    <xf numFmtId="0" fontId="26" fillId="3" borderId="0" xfId="0" applyFont="1" applyFill="1" applyAlignment="1">
      <alignment horizontal="center" vertical="center"/>
    </xf>
    <xf numFmtId="0" fontId="15" fillId="0" borderId="1" xfId="0" applyFont="1" applyBorder="1" applyAlignment="1">
      <alignment horizontal="left" vertical="center" indent="1"/>
    </xf>
    <xf numFmtId="0" fontId="10" fillId="8" borderId="1" xfId="0" applyFont="1" applyFill="1" applyBorder="1" applyAlignment="1">
      <alignment horizontal="center" vertical="center"/>
    </xf>
    <xf numFmtId="0" fontId="10" fillId="16" borderId="1" xfId="0" applyFont="1" applyFill="1" applyBorder="1" applyAlignment="1">
      <alignment horizontal="center" vertical="center"/>
    </xf>
    <xf numFmtId="0" fontId="14" fillId="4" borderId="0" xfId="0" applyFont="1" applyFill="1" applyAlignment="1">
      <alignment horizontal="center" vertical="center"/>
    </xf>
    <xf numFmtId="0" fontId="27" fillId="15" borderId="0" xfId="0" applyFont="1" applyFill="1" applyAlignment="1">
      <alignment horizontal="center" vertical="center"/>
    </xf>
    <xf numFmtId="0" fontId="16" fillId="12" borderId="1" xfId="0" applyFont="1" applyFill="1" applyBorder="1" applyAlignment="1">
      <alignment horizontal="left" vertical="center" indent="1"/>
    </xf>
    <xf numFmtId="0" fontId="5" fillId="10" borderId="1" xfId="0" applyFont="1" applyFill="1" applyBorder="1" applyAlignment="1">
      <alignment horizontal="left" vertical="center" indent="1"/>
    </xf>
    <xf numFmtId="0" fontId="16" fillId="15" borderId="1" xfId="0" applyFont="1" applyFill="1" applyBorder="1" applyAlignment="1">
      <alignment horizontal="left" vertical="center" indent="1"/>
    </xf>
    <xf numFmtId="0" fontId="23" fillId="17" borderId="1" xfId="0" applyFont="1" applyFill="1" applyBorder="1" applyAlignment="1">
      <alignment horizontal="center" vertical="center"/>
    </xf>
    <xf numFmtId="0" fontId="16" fillId="6" borderId="1" xfId="0" applyFont="1" applyFill="1" applyBorder="1" applyAlignment="1">
      <alignment horizontal="left" vertical="center" indent="1"/>
    </xf>
    <xf numFmtId="0" fontId="19" fillId="15" borderId="1" xfId="0" applyFont="1" applyFill="1" applyBorder="1" applyAlignment="1">
      <alignment horizontal="center"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xf>
    <xf numFmtId="0" fontId="22" fillId="12" borderId="1" xfId="0" applyFont="1" applyFill="1" applyBorder="1" applyAlignment="1">
      <alignment horizontal="center" vertical="center"/>
    </xf>
    <xf numFmtId="0" fontId="18" fillId="2" borderId="0" xfId="0" applyFont="1" applyFill="1" applyAlignment="1">
      <alignment horizontal="center" vertical="center"/>
    </xf>
    <xf numFmtId="0" fontId="28" fillId="15" borderId="1" xfId="0" applyFont="1" applyFill="1" applyBorder="1" applyAlignment="1">
      <alignment horizontal="center" vertical="center"/>
    </xf>
    <xf numFmtId="0" fontId="28" fillId="6" borderId="1" xfId="0" applyFont="1" applyFill="1" applyBorder="1" applyAlignment="1">
      <alignment horizontal="center" vertical="center"/>
    </xf>
    <xf numFmtId="0" fontId="28" fillId="12" borderId="1" xfId="0" applyFont="1" applyFill="1" applyBorder="1" applyAlignment="1">
      <alignment horizontal="center" vertical="center"/>
    </xf>
    <xf numFmtId="0" fontId="28" fillId="17" borderId="1" xfId="0" applyFont="1" applyFill="1" applyBorder="1" applyAlignment="1">
      <alignment horizontal="center" vertical="center"/>
    </xf>
    <xf numFmtId="0" fontId="24" fillId="10" borderId="3" xfId="0" applyFont="1" applyFill="1" applyBorder="1" applyAlignment="1">
      <alignment horizontal="left" vertical="center" wrapText="1" indent="1"/>
    </xf>
    <xf numFmtId="0" fontId="24" fillId="7" borderId="3" xfId="0" applyFont="1" applyFill="1" applyBorder="1" applyAlignment="1">
      <alignment horizontal="left" vertical="center" wrapText="1" indent="1"/>
    </xf>
    <xf numFmtId="0" fontId="13"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2E75B6"/>
      <rgbColor rgb="FFBFBFBF"/>
      <rgbColor rgb="FF878787"/>
      <rgbColor rgb="FF9999FF"/>
      <rgbColor rgb="FF7030A0"/>
      <rgbColor rgb="FFFFFDE7"/>
      <rgbColor rgb="FFEBF3FB"/>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6E4F0"/>
      <rgbColor rgb="FFE2EFDA"/>
      <rgbColor rgb="FFFFF2CC"/>
      <rgbColor rgb="FFA9D18E"/>
      <rgbColor rgb="FFFCE4D6"/>
      <rgbColor rgb="FFF9F9F9"/>
      <rgbColor rgb="FFEAD1DC"/>
      <rgbColor rgb="FF4472C4"/>
      <rgbColor rgb="FF33CCCC"/>
      <rgbColor rgb="FF99CC00"/>
      <rgbColor rgb="FFFFCC00"/>
      <rgbColor rgb="FFFF9900"/>
      <rgbColor rgb="FFED7D31"/>
      <rgbColor rgb="FF595959"/>
      <rgbColor rgb="FF70AD47"/>
      <rgbColor rgb="FF003366"/>
      <rgbColor rgb="FF4F81BD"/>
      <rgbColor rgb="FF003300"/>
      <rgbColor rgb="FF333300"/>
      <rgbColor rgb="FFC55A11"/>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Stock Returns During US-Iran War Crisis (Jan-Apr 2026)</a:t>
            </a:r>
          </a:p>
        </c:rich>
      </c:tx>
      <c:overlay val="0"/>
      <c:spPr>
        <a:noFill/>
        <a:ln w="0">
          <a:noFill/>
        </a:ln>
      </c:spPr>
    </c:title>
    <c:autoTitleDeleted val="0"/>
    <c:plotArea>
      <c:layout/>
      <c:barChart>
        <c:barDir val="col"/>
        <c:grouping val="clustered"/>
        <c:varyColors val="0"/>
        <c:ser>
          <c:idx val="0"/>
          <c:order val="0"/>
          <c:tx>
            <c:strRef>
              <c:f>'5_DASHBOARD'!$P$100</c:f>
              <c:strCache>
                <c:ptCount val="1"/>
                <c:pt idx="0">
                  <c:v>Return %</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'5_DASHBOARD'!$O$101:$O$105</c:f>
              <c:strCache>
                <c:ptCount val="5"/>
                <c:pt idx="0">
                  <c:v>AAPL</c:v>
                </c:pt>
                <c:pt idx="1">
                  <c:v>MSFT</c:v>
                </c:pt>
                <c:pt idx="2">
                  <c:v>XOM</c:v>
                </c:pt>
                <c:pt idx="3">
                  <c:v>LMT</c:v>
                </c:pt>
                <c:pt idx="4">
                  <c:v>JPM</c:v>
                </c:pt>
              </c:strCache>
            </c:strRef>
          </c:cat>
          <c:val>
            <c:numRef>
              <c:f>'5_DASHBOARD'!$P$101:$P$105</c:f>
              <c:numCache>
                <c:formatCode>General</c:formatCode>
                <c:ptCount val="5"/>
                <c:pt idx="0">
                  <c:v>-7.4099999999999999E-2</c:v>
                </c:pt>
                <c:pt idx="1">
                  <c:v>-7.2400000000000006E-2</c:v>
                </c:pt>
                <c:pt idx="2">
                  <c:v>0.2074</c:v>
                </c:pt>
                <c:pt idx="3">
                  <c:v>0.22969999999999999</c:v>
                </c:pt>
                <c:pt idx="4">
                  <c:v>-2.7099999999999999E-2</c:v>
                </c:pt>
              </c:numCache>
            </c:numRef>
          </c:val>
          <c:extLst>
            <c:ext xmlns:c16="http://schemas.microsoft.com/office/drawing/2014/chart" uri="{C3380CC4-5D6E-409C-BE32-E72D297353CC}">
              <c16:uniqueId val="{00000000-61E7-1243-A2F2-038AE3338324}"/>
            </c:ext>
          </c:extLst>
        </c:ser>
        <c:dLbls>
          <c:showLegendKey val="0"/>
          <c:showVal val="0"/>
          <c:showCatName val="0"/>
          <c:showSerName val="0"/>
          <c:showPercent val="0"/>
          <c:showBubbleSize val="0"/>
        </c:dLbls>
        <c:gapWidth val="150"/>
        <c:axId val="105161"/>
        <c:axId val="47327436"/>
      </c:barChart>
      <c:catAx>
        <c:axId val="10516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Stock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327436"/>
        <c:crosses val="autoZero"/>
        <c:auto val="1"/>
        <c:lblAlgn val="ctr"/>
        <c:lblOffset val="100"/>
        <c:noMultiLvlLbl val="0"/>
      </c:catAx>
      <c:valAx>
        <c:axId val="4732743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Return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516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Stock Prices Jan-Apr 2026 (Crisis Period)</a:t>
            </a:r>
          </a:p>
        </c:rich>
      </c:tx>
      <c:overlay val="0"/>
      <c:spPr>
        <a:noFill/>
        <a:ln w="0">
          <a:noFill/>
        </a:ln>
      </c:spPr>
    </c:title>
    <c:autoTitleDeleted val="0"/>
    <c:plotArea>
      <c:layout/>
      <c:lineChart>
        <c:grouping val="standard"/>
        <c:varyColors val="0"/>
        <c:ser>
          <c:idx val="0"/>
          <c:order val="0"/>
          <c:tx>
            <c:strRef>
              <c:f>'5_DASHBOARD'!$P$110</c:f>
              <c:strCache>
                <c:ptCount val="1"/>
                <c:pt idx="0">
                  <c:v>AAPL</c:v>
                </c:pt>
              </c:strCache>
            </c:strRef>
          </c:tx>
          <c:spPr>
            <a:ln w="20160">
              <a:solidFill>
                <a:srgbClr val="2E75B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'5_DASHBOARD'!$O$111:$O$114</c:f>
              <c:strCache>
                <c:ptCount val="4"/>
                <c:pt idx="0">
                  <c:v>Jan</c:v>
                </c:pt>
                <c:pt idx="1">
                  <c:v>Feb</c:v>
                </c:pt>
                <c:pt idx="2">
                  <c:v>Mar</c:v>
                </c:pt>
                <c:pt idx="3">
                  <c:v>Apr</c:v>
                </c:pt>
              </c:strCache>
            </c:strRef>
          </c:cat>
          <c:val>
            <c:numRef>
              <c:f>'5_DASHBOARD'!$P$111:$P$114</c:f>
              <c:numCache>
                <c:formatCode>General</c:formatCode>
                <c:ptCount val="4"/>
                <c:pt idx="0">
                  <c:v>243</c:v>
                </c:pt>
                <c:pt idx="1">
                  <c:v>250</c:v>
                </c:pt>
                <c:pt idx="2">
                  <c:v>218</c:v>
                </c:pt>
                <c:pt idx="3">
                  <c:v>225</c:v>
                </c:pt>
              </c:numCache>
            </c:numRef>
          </c:val>
          <c:smooth val="1"/>
          <c:extLst>
            <c:ext xmlns:c16="http://schemas.microsoft.com/office/drawing/2014/chart" uri="{C3380CC4-5D6E-409C-BE32-E72D297353CC}">
              <c16:uniqueId val="{00000000-EBB9-A747-97E8-62F051B567E5}"/>
            </c:ext>
          </c:extLst>
        </c:ser>
        <c:ser>
          <c:idx val="1"/>
          <c:order val="1"/>
          <c:tx>
            <c:strRef>
              <c:f>'5_DASHBOARD'!$Q$110</c:f>
              <c:strCache>
                <c:ptCount val="1"/>
                <c:pt idx="0">
                  <c:v>MSFT</c:v>
                </c:pt>
              </c:strCache>
            </c:strRef>
          </c:tx>
          <c:spPr>
            <a:ln w="2016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'5_DASHBOARD'!$O$111:$O$114</c:f>
              <c:strCache>
                <c:ptCount val="4"/>
                <c:pt idx="0">
                  <c:v>Jan</c:v>
                </c:pt>
                <c:pt idx="1">
                  <c:v>Feb</c:v>
                </c:pt>
                <c:pt idx="2">
                  <c:v>Mar</c:v>
                </c:pt>
                <c:pt idx="3">
                  <c:v>Apr</c:v>
                </c:pt>
              </c:strCache>
            </c:strRef>
          </c:cat>
          <c:val>
            <c:numRef>
              <c:f>'5_DASHBOARD'!$Q$111:$Q$114</c:f>
              <c:numCache>
                <c:formatCode>General</c:formatCode>
                <c:ptCount val="4"/>
                <c:pt idx="0">
                  <c:v>442</c:v>
                </c:pt>
                <c:pt idx="1">
                  <c:v>448</c:v>
                </c:pt>
                <c:pt idx="2">
                  <c:v>395</c:v>
                </c:pt>
                <c:pt idx="3">
                  <c:v>410</c:v>
                </c:pt>
              </c:numCache>
            </c:numRef>
          </c:val>
          <c:smooth val="1"/>
          <c:extLst>
            <c:ext xmlns:c16="http://schemas.microsoft.com/office/drawing/2014/chart" uri="{C3380CC4-5D6E-409C-BE32-E72D297353CC}">
              <c16:uniqueId val="{00000001-EBB9-A747-97E8-62F051B567E5}"/>
            </c:ext>
          </c:extLst>
        </c:ser>
        <c:ser>
          <c:idx val="2"/>
          <c:order val="2"/>
          <c:tx>
            <c:strRef>
              <c:f>'5_DASHBOARD'!$R$110</c:f>
              <c:strCache>
                <c:ptCount val="1"/>
                <c:pt idx="0">
                  <c:v>XOM</c:v>
                </c:pt>
              </c:strCache>
            </c:strRef>
          </c:tx>
          <c:spPr>
            <a:ln w="20160">
              <a:solidFill>
                <a:srgbClr val="A9D18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'5_DASHBOARD'!$O$111:$O$114</c:f>
              <c:strCache>
                <c:ptCount val="4"/>
                <c:pt idx="0">
                  <c:v>Jan</c:v>
                </c:pt>
                <c:pt idx="1">
                  <c:v>Feb</c:v>
                </c:pt>
                <c:pt idx="2">
                  <c:v>Mar</c:v>
                </c:pt>
                <c:pt idx="3">
                  <c:v>Apr</c:v>
                </c:pt>
              </c:strCache>
            </c:strRef>
          </c:cat>
          <c:val>
            <c:numRef>
              <c:f>'5_DASHBOARD'!$R$111:$R$114</c:f>
              <c:numCache>
                <c:formatCode>General</c:formatCode>
                <c:ptCount val="4"/>
                <c:pt idx="0">
                  <c:v>108.5</c:v>
                </c:pt>
                <c:pt idx="1">
                  <c:v>112</c:v>
                </c:pt>
                <c:pt idx="2">
                  <c:v>128</c:v>
                </c:pt>
                <c:pt idx="3">
                  <c:v>131</c:v>
                </c:pt>
              </c:numCache>
            </c:numRef>
          </c:val>
          <c:smooth val="1"/>
          <c:extLst>
            <c:ext xmlns:c16="http://schemas.microsoft.com/office/drawing/2014/chart" uri="{C3380CC4-5D6E-409C-BE32-E72D297353CC}">
              <c16:uniqueId val="{00000002-EBB9-A747-97E8-62F051B567E5}"/>
            </c:ext>
          </c:extLst>
        </c:ser>
        <c:ser>
          <c:idx val="3"/>
          <c:order val="3"/>
          <c:tx>
            <c:strRef>
              <c:f>'5_DASHBOARD'!$S$110</c:f>
              <c:strCache>
                <c:ptCount val="1"/>
                <c:pt idx="0">
                  <c:v>LMT</c:v>
                </c:pt>
              </c:strCache>
            </c:strRef>
          </c:tx>
          <c:spPr>
            <a:ln w="20160">
              <a:solidFill>
                <a:srgbClr val="FF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'5_DASHBOARD'!$O$111:$O$114</c:f>
              <c:strCache>
                <c:ptCount val="4"/>
                <c:pt idx="0">
                  <c:v>Jan</c:v>
                </c:pt>
                <c:pt idx="1">
                  <c:v>Feb</c:v>
                </c:pt>
                <c:pt idx="2">
                  <c:v>Mar</c:v>
                </c:pt>
                <c:pt idx="3">
                  <c:v>Apr</c:v>
                </c:pt>
              </c:strCache>
            </c:strRef>
          </c:cat>
          <c:val>
            <c:numRef>
              <c:f>'5_DASHBOARD'!$S$111:$S$114</c:f>
              <c:numCache>
                <c:formatCode>General</c:formatCode>
                <c:ptCount val="4"/>
                <c:pt idx="0">
                  <c:v>527</c:v>
                </c:pt>
                <c:pt idx="1">
                  <c:v>525</c:v>
                </c:pt>
                <c:pt idx="2">
                  <c:v>624</c:v>
                </c:pt>
                <c:pt idx="3">
                  <c:v>648</c:v>
                </c:pt>
              </c:numCache>
            </c:numRef>
          </c:val>
          <c:smooth val="1"/>
          <c:extLst>
            <c:ext xmlns:c16="http://schemas.microsoft.com/office/drawing/2014/chart" uri="{C3380CC4-5D6E-409C-BE32-E72D297353CC}">
              <c16:uniqueId val="{00000003-EBB9-A747-97E8-62F051B567E5}"/>
            </c:ext>
          </c:extLst>
        </c:ser>
        <c:ser>
          <c:idx val="4"/>
          <c:order val="4"/>
          <c:tx>
            <c:strRef>
              <c:f>'5_DASHBOARD'!$T$110</c:f>
              <c:strCache>
                <c:ptCount val="1"/>
                <c:pt idx="0">
                  <c:v>JPM</c:v>
                </c:pt>
              </c:strCache>
            </c:strRef>
          </c:tx>
          <c:spPr>
            <a:ln w="20160">
              <a:solidFill>
                <a:srgbClr val="7030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'5_DASHBOARD'!$O$111:$O$114</c:f>
              <c:strCache>
                <c:ptCount val="4"/>
                <c:pt idx="0">
                  <c:v>Jan</c:v>
                </c:pt>
                <c:pt idx="1">
                  <c:v>Feb</c:v>
                </c:pt>
                <c:pt idx="2">
                  <c:v>Mar</c:v>
                </c:pt>
                <c:pt idx="3">
                  <c:v>Apr</c:v>
                </c:pt>
              </c:strCache>
            </c:strRef>
          </c:cat>
          <c:val>
            <c:numRef>
              <c:f>'5_DASHBOARD'!$T$111:$T$114</c:f>
              <c:numCache>
                <c:formatCode>General</c:formatCode>
                <c:ptCount val="4"/>
                <c:pt idx="0">
                  <c:v>239.5</c:v>
                </c:pt>
                <c:pt idx="1">
                  <c:v>244</c:v>
                </c:pt>
                <c:pt idx="2">
                  <c:v>228</c:v>
                </c:pt>
                <c:pt idx="3">
                  <c:v>233</c:v>
                </c:pt>
              </c:numCache>
            </c:numRef>
          </c:val>
          <c:smooth val="1"/>
          <c:extLst>
            <c:ext xmlns:c16="http://schemas.microsoft.com/office/drawing/2014/chart" uri="{C3380CC4-5D6E-409C-BE32-E72D297353CC}">
              <c16:uniqueId val="{00000004-EBB9-A747-97E8-62F051B567E5}"/>
            </c:ext>
          </c:extLst>
        </c:ser>
        <c:dLbls>
          <c:showLegendKey val="0"/>
          <c:showVal val="0"/>
          <c:showCatName val="0"/>
          <c:showSerName val="0"/>
          <c:showPercent val="0"/>
          <c:showBubbleSize val="0"/>
        </c:dLbls>
        <c:hiLowLines>
          <c:spPr>
            <a:ln w="0">
              <a:noFill/>
            </a:ln>
          </c:spPr>
        </c:hiLowLines>
        <c:smooth val="0"/>
        <c:axId val="58366255"/>
        <c:axId val="24952745"/>
      </c:lineChart>
      <c:catAx>
        <c:axId val="5836625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952745"/>
        <c:crosses val="autoZero"/>
        <c:auto val="1"/>
        <c:lblAlgn val="ctr"/>
        <c:lblOffset val="100"/>
        <c:noMultiLvlLbl val="0"/>
      </c:catAx>
      <c:valAx>
        <c:axId val="2495274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Price (USD)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36625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11</xdr:col>
      <xdr:colOff>352778</xdr:colOff>
      <xdr:row>26</xdr:row>
      <xdr:rowOff>184854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522111</xdr:colOff>
      <xdr:row>2</xdr:row>
      <xdr:rowOff>183445</xdr:rowOff>
    </xdr:from>
    <xdr:to>
      <xdr:col>25</xdr:col>
      <xdr:colOff>440288</xdr:colOff>
      <xdr:row>26</xdr:row>
      <xdr:rowOff>150408</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150" zoomScaleNormal="100" workbookViewId="0">
      <selection sqref="A1:G1"/>
    </sheetView>
  </sheetViews>
  <sheetFormatPr baseColWidth="10" defaultColWidth="8.6640625" defaultRowHeight="15" x14ac:dyDescent="0.2"/>
  <cols>
    <col min="1" max="1" width="16" customWidth="1"/>
    <col min="2" max="2" width="12" customWidth="1"/>
    <col min="3" max="4" width="14" customWidth="1"/>
    <col min="5" max="6" width="12" customWidth="1"/>
    <col min="7" max="7" width="22" customWidth="1"/>
  </cols>
  <sheetData>
    <row r="1" spans="1:7" ht="49.5" customHeight="1" x14ac:dyDescent="0.2">
      <c r="A1" s="50" t="s">
        <v>0</v>
      </c>
      <c r="B1" s="50"/>
      <c r="C1" s="50"/>
      <c r="D1" s="50"/>
      <c r="E1" s="50"/>
      <c r="F1" s="50"/>
      <c r="G1" s="50"/>
    </row>
    <row r="2" spans="1:7" ht="21.75" customHeight="1" x14ac:dyDescent="0.2">
      <c r="A2" s="51" t="s">
        <v>1</v>
      </c>
      <c r="B2" s="51"/>
      <c r="C2" s="51"/>
      <c r="D2" s="51"/>
      <c r="E2" s="51"/>
      <c r="F2" s="51"/>
      <c r="G2" s="51"/>
    </row>
    <row r="4" spans="1:7" ht="25.5" customHeight="1" x14ac:dyDescent="0.2">
      <c r="A4" s="52" t="s">
        <v>2</v>
      </c>
      <c r="B4" s="52"/>
      <c r="C4" s="52"/>
      <c r="D4" s="52"/>
      <c r="E4" s="52"/>
      <c r="F4" s="52"/>
      <c r="G4" s="52"/>
    </row>
    <row r="5" spans="1:7" ht="21.75" customHeight="1" x14ac:dyDescent="0.2">
      <c r="A5" s="1" t="s">
        <v>3</v>
      </c>
      <c r="B5" s="53" t="s">
        <v>4</v>
      </c>
      <c r="C5" s="53"/>
      <c r="D5" s="53"/>
      <c r="E5" s="53"/>
      <c r="F5" s="53"/>
      <c r="G5" s="53"/>
    </row>
    <row r="6" spans="1:7" x14ac:dyDescent="0.2">
      <c r="A6" s="2" t="s">
        <v>5</v>
      </c>
      <c r="B6" s="47" t="s">
        <v>6</v>
      </c>
      <c r="C6" s="47"/>
      <c r="D6" s="47"/>
      <c r="E6" s="47"/>
      <c r="F6" s="47"/>
      <c r="G6" s="47"/>
    </row>
    <row r="7" spans="1:7" x14ac:dyDescent="0.2">
      <c r="A7" s="3" t="s">
        <v>5</v>
      </c>
      <c r="B7" s="48" t="s">
        <v>7</v>
      </c>
      <c r="C7" s="48"/>
      <c r="D7" s="48"/>
      <c r="E7" s="48"/>
      <c r="F7" s="48"/>
      <c r="G7" s="48"/>
    </row>
    <row r="8" spans="1:7" x14ac:dyDescent="0.2">
      <c r="A8" s="2" t="s">
        <v>8</v>
      </c>
      <c r="B8" s="47" t="s">
        <v>9</v>
      </c>
      <c r="C8" s="47"/>
      <c r="D8" s="47"/>
      <c r="E8" s="47"/>
      <c r="F8" s="47"/>
      <c r="G8" s="47"/>
    </row>
    <row r="9" spans="1:7" x14ac:dyDescent="0.2">
      <c r="A9" s="3" t="s">
        <v>8</v>
      </c>
      <c r="B9" s="48" t="s">
        <v>10</v>
      </c>
      <c r="C9" s="48"/>
      <c r="D9" s="48"/>
      <c r="E9" s="48"/>
      <c r="F9" s="48"/>
      <c r="G9" s="48"/>
    </row>
    <row r="10" spans="1:7" x14ac:dyDescent="0.2">
      <c r="A10" s="2" t="s">
        <v>11</v>
      </c>
      <c r="B10" s="47" t="s">
        <v>12</v>
      </c>
      <c r="C10" s="47"/>
      <c r="D10" s="47"/>
      <c r="E10" s="47"/>
      <c r="F10" s="47"/>
      <c r="G10" s="47"/>
    </row>
    <row r="11" spans="1:7" x14ac:dyDescent="0.2">
      <c r="A11" s="3" t="s">
        <v>13</v>
      </c>
      <c r="B11" s="48" t="s">
        <v>14</v>
      </c>
      <c r="C11" s="48"/>
      <c r="D11" s="48"/>
      <c r="E11" s="48"/>
      <c r="F11" s="48"/>
      <c r="G11" s="48"/>
    </row>
    <row r="12" spans="1:7" x14ac:dyDescent="0.2">
      <c r="A12" s="2" t="s">
        <v>15</v>
      </c>
      <c r="B12" s="47" t="s">
        <v>16</v>
      </c>
      <c r="C12" s="47"/>
      <c r="D12" s="47"/>
      <c r="E12" s="47"/>
      <c r="F12" s="47"/>
      <c r="G12" s="47"/>
    </row>
    <row r="13" spans="1:7" x14ac:dyDescent="0.2">
      <c r="A13" s="3" t="s">
        <v>17</v>
      </c>
      <c r="B13" s="48" t="s">
        <v>18</v>
      </c>
      <c r="C13" s="48"/>
      <c r="D13" s="48"/>
      <c r="E13" s="48"/>
      <c r="F13" s="48"/>
      <c r="G13" s="48"/>
    </row>
    <row r="15" spans="1:7" ht="25.5" customHeight="1" x14ac:dyDescent="0.2">
      <c r="A15" s="49" t="s">
        <v>19</v>
      </c>
      <c r="B15" s="49"/>
      <c r="C15" s="49"/>
      <c r="D15" s="49"/>
      <c r="E15" s="49"/>
      <c r="F15" s="49"/>
      <c r="G15" s="49"/>
    </row>
    <row r="16" spans="1:7" ht="21.75" customHeight="1" x14ac:dyDescent="0.2">
      <c r="A16" s="4" t="s">
        <v>20</v>
      </c>
      <c r="B16" s="4" t="s">
        <v>21</v>
      </c>
      <c r="C16" s="4" t="s">
        <v>22</v>
      </c>
      <c r="D16" s="4" t="s">
        <v>23</v>
      </c>
      <c r="E16" s="4" t="s">
        <v>24</v>
      </c>
    </row>
    <row r="17" spans="1:7" x14ac:dyDescent="0.2">
      <c r="A17" s="5" t="s">
        <v>25</v>
      </c>
      <c r="B17" s="6" t="s">
        <v>26</v>
      </c>
      <c r="C17" s="7" t="s">
        <v>27</v>
      </c>
      <c r="D17" s="7" t="s">
        <v>28</v>
      </c>
      <c r="E17" s="45" t="s">
        <v>29</v>
      </c>
      <c r="F17" s="45"/>
      <c r="G17" s="45"/>
    </row>
    <row r="18" spans="1:7" x14ac:dyDescent="0.2">
      <c r="A18" s="8" t="s">
        <v>30</v>
      </c>
      <c r="B18" s="9" t="s">
        <v>31</v>
      </c>
      <c r="C18" s="3" t="s">
        <v>32</v>
      </c>
      <c r="D18" s="3" t="s">
        <v>33</v>
      </c>
      <c r="E18" s="46" t="s">
        <v>34</v>
      </c>
      <c r="F18" s="46"/>
      <c r="G18" s="46"/>
    </row>
    <row r="19" spans="1:7" x14ac:dyDescent="0.2">
      <c r="A19" s="5" t="s">
        <v>35</v>
      </c>
      <c r="B19" s="6" t="s">
        <v>36</v>
      </c>
      <c r="C19" s="7" t="s">
        <v>37</v>
      </c>
      <c r="D19" s="7" t="s">
        <v>38</v>
      </c>
      <c r="E19" s="45" t="s">
        <v>39</v>
      </c>
      <c r="F19" s="45"/>
      <c r="G19" s="45"/>
    </row>
    <row r="20" spans="1:7" x14ac:dyDescent="0.2">
      <c r="A20" s="8" t="s">
        <v>40</v>
      </c>
      <c r="B20" s="9" t="s">
        <v>41</v>
      </c>
      <c r="C20" s="10" t="s">
        <v>42</v>
      </c>
      <c r="D20" s="10" t="s">
        <v>43</v>
      </c>
      <c r="E20" s="46" t="s">
        <v>44</v>
      </c>
      <c r="F20" s="46"/>
      <c r="G20" s="46"/>
    </row>
    <row r="21" spans="1:7" x14ac:dyDescent="0.2">
      <c r="A21" s="5" t="s">
        <v>45</v>
      </c>
      <c r="B21" s="6" t="s">
        <v>46</v>
      </c>
      <c r="C21" s="11" t="s">
        <v>47</v>
      </c>
      <c r="D21" s="11" t="s">
        <v>48</v>
      </c>
      <c r="E21" s="45" t="s">
        <v>49</v>
      </c>
      <c r="F21" s="45"/>
      <c r="G21" s="45"/>
    </row>
    <row r="22" spans="1:7" x14ac:dyDescent="0.2">
      <c r="A22" s="8" t="s">
        <v>50</v>
      </c>
      <c r="B22" s="9" t="s">
        <v>51</v>
      </c>
      <c r="C22" s="3" t="s">
        <v>52</v>
      </c>
      <c r="D22" s="3" t="s">
        <v>53</v>
      </c>
      <c r="E22" s="46" t="s">
        <v>54</v>
      </c>
      <c r="F22" s="46"/>
      <c r="G22" s="46"/>
    </row>
    <row r="23" spans="1:7" x14ac:dyDescent="0.2">
      <c r="A23" s="5" t="s">
        <v>55</v>
      </c>
      <c r="B23" s="6" t="s">
        <v>56</v>
      </c>
      <c r="C23" s="7" t="s">
        <v>57</v>
      </c>
      <c r="D23" s="11" t="s">
        <v>58</v>
      </c>
      <c r="E23" s="45" t="s">
        <v>59</v>
      </c>
      <c r="F23" s="45"/>
      <c r="G23" s="45"/>
    </row>
  </sheetData>
  <mergeCells count="20">
    <mergeCell ref="A1:G1"/>
    <mergeCell ref="A2:G2"/>
    <mergeCell ref="A4:G4"/>
    <mergeCell ref="B5:G5"/>
    <mergeCell ref="B6:G6"/>
    <mergeCell ref="B7:G7"/>
    <mergeCell ref="B8:G8"/>
    <mergeCell ref="B9:G9"/>
    <mergeCell ref="B10:G10"/>
    <mergeCell ref="B11:G11"/>
    <mergeCell ref="B12:G12"/>
    <mergeCell ref="B13:G13"/>
    <mergeCell ref="A15:G15"/>
    <mergeCell ref="E17:G17"/>
    <mergeCell ref="E18:G18"/>
    <mergeCell ref="E19:G19"/>
    <mergeCell ref="E20:G20"/>
    <mergeCell ref="E21:G21"/>
    <mergeCell ref="E22:G22"/>
    <mergeCell ref="E23:G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topLeftCell="A5" zoomScale="160" zoomScaleNormal="160" workbookViewId="0">
      <selection activeCell="A2" sqref="A2:H2"/>
    </sheetView>
  </sheetViews>
  <sheetFormatPr baseColWidth="10" defaultColWidth="8.6640625" defaultRowHeight="15" x14ac:dyDescent="0.2"/>
  <cols>
    <col min="1" max="1" width="22" customWidth="1"/>
    <col min="2" max="2" width="14" customWidth="1"/>
    <col min="3" max="5" width="12" customWidth="1"/>
    <col min="6" max="6" width="14" customWidth="1"/>
    <col min="7" max="8" width="12" customWidth="1"/>
  </cols>
  <sheetData>
    <row r="1" spans="1:8" ht="34.5" customHeight="1" x14ac:dyDescent="0.2">
      <c r="A1" s="54" t="s">
        <v>60</v>
      </c>
      <c r="B1" s="54"/>
      <c r="C1" s="54"/>
      <c r="D1" s="54"/>
      <c r="E1" s="54"/>
      <c r="F1" s="54"/>
      <c r="G1" s="54"/>
      <c r="H1" s="54"/>
    </row>
    <row r="2" spans="1:8" ht="18" customHeight="1" x14ac:dyDescent="0.2">
      <c r="A2" s="55" t="s">
        <v>61</v>
      </c>
      <c r="B2" s="55"/>
      <c r="C2" s="55"/>
      <c r="D2" s="55"/>
      <c r="E2" s="55"/>
      <c r="F2" s="55"/>
      <c r="G2" s="55"/>
      <c r="H2" s="55"/>
    </row>
    <row r="4" spans="1:8" ht="21.75" customHeight="1" x14ac:dyDescent="0.2">
      <c r="A4" s="56" t="s">
        <v>62</v>
      </c>
      <c r="B4" s="56"/>
      <c r="C4" s="56"/>
      <c r="D4" s="56"/>
      <c r="E4" s="56"/>
    </row>
    <row r="5" spans="1:8" ht="21.75" customHeight="1" x14ac:dyDescent="0.2">
      <c r="A5" s="12" t="s">
        <v>63</v>
      </c>
      <c r="B5" s="12" t="s">
        <v>64</v>
      </c>
      <c r="C5" s="12" t="s">
        <v>65</v>
      </c>
      <c r="D5" s="12" t="s">
        <v>66</v>
      </c>
      <c r="E5" s="12" t="s">
        <v>67</v>
      </c>
    </row>
    <row r="6" spans="1:8" x14ac:dyDescent="0.2">
      <c r="A6" s="13" t="s">
        <v>68</v>
      </c>
      <c r="B6" s="14" t="s">
        <v>69</v>
      </c>
      <c r="C6" s="2" t="s">
        <v>70</v>
      </c>
      <c r="D6" s="15">
        <v>243</v>
      </c>
      <c r="E6" s="15">
        <v>225</v>
      </c>
    </row>
    <row r="7" spans="1:8" x14ac:dyDescent="0.2">
      <c r="A7" s="13" t="s">
        <v>71</v>
      </c>
      <c r="B7" s="14" t="s">
        <v>72</v>
      </c>
      <c r="C7" s="2" t="s">
        <v>70</v>
      </c>
      <c r="D7" s="15">
        <v>442</v>
      </c>
      <c r="E7" s="15">
        <v>410</v>
      </c>
    </row>
    <row r="8" spans="1:8" x14ac:dyDescent="0.2">
      <c r="A8" s="16" t="s">
        <v>73</v>
      </c>
      <c r="B8" s="17" t="s">
        <v>74</v>
      </c>
      <c r="C8" s="18" t="s">
        <v>75</v>
      </c>
      <c r="D8" s="19">
        <v>108.5</v>
      </c>
      <c r="E8" s="19">
        <v>131</v>
      </c>
    </row>
    <row r="9" spans="1:8" x14ac:dyDescent="0.2">
      <c r="A9" s="16" t="s">
        <v>76</v>
      </c>
      <c r="B9" s="17" t="s">
        <v>77</v>
      </c>
      <c r="C9" s="18" t="s">
        <v>78</v>
      </c>
      <c r="D9" s="19">
        <v>527</v>
      </c>
      <c r="E9" s="19">
        <v>648</v>
      </c>
    </row>
    <row r="10" spans="1:8" x14ac:dyDescent="0.2">
      <c r="A10" s="20" t="s">
        <v>79</v>
      </c>
      <c r="B10" s="21" t="s">
        <v>80</v>
      </c>
      <c r="C10" s="22" t="s">
        <v>81</v>
      </c>
      <c r="D10" s="23">
        <v>239.5</v>
      </c>
      <c r="E10" s="23">
        <v>233</v>
      </c>
    </row>
    <row r="13" spans="1:8" ht="21.75" customHeight="1" x14ac:dyDescent="0.2">
      <c r="A13" s="57" t="s">
        <v>82</v>
      </c>
      <c r="B13" s="57"/>
      <c r="C13" s="57"/>
      <c r="D13" s="57"/>
      <c r="E13" s="57"/>
      <c r="F13" s="57"/>
    </row>
    <row r="14" spans="1:8" ht="21.75" customHeight="1" x14ac:dyDescent="0.2">
      <c r="A14" s="1" t="s">
        <v>83</v>
      </c>
      <c r="B14" s="1" t="s">
        <v>68</v>
      </c>
      <c r="C14" s="1" t="s">
        <v>71</v>
      </c>
      <c r="D14" s="1" t="s">
        <v>73</v>
      </c>
      <c r="E14" s="1" t="s">
        <v>76</v>
      </c>
      <c r="F14" s="1" t="s">
        <v>79</v>
      </c>
    </row>
    <row r="15" spans="1:8" x14ac:dyDescent="0.2">
      <c r="A15" s="6" t="s">
        <v>84</v>
      </c>
      <c r="B15" s="24">
        <v>243</v>
      </c>
      <c r="C15" s="24">
        <v>442</v>
      </c>
      <c r="D15" s="24">
        <v>108.5</v>
      </c>
      <c r="E15" s="24">
        <v>527</v>
      </c>
      <c r="F15" s="24">
        <v>239.5</v>
      </c>
    </row>
    <row r="16" spans="1:8" x14ac:dyDescent="0.2">
      <c r="A16" s="9" t="s">
        <v>85</v>
      </c>
      <c r="B16" s="25">
        <v>250</v>
      </c>
      <c r="C16" s="25">
        <v>448</v>
      </c>
      <c r="D16" s="25">
        <v>112</v>
      </c>
      <c r="E16" s="25">
        <v>525</v>
      </c>
      <c r="F16" s="25">
        <v>244</v>
      </c>
    </row>
    <row r="17" spans="1:6" x14ac:dyDescent="0.2">
      <c r="A17" s="2" t="s">
        <v>86</v>
      </c>
      <c r="B17" s="26">
        <v>218</v>
      </c>
      <c r="C17" s="26">
        <v>395</v>
      </c>
      <c r="D17" s="26">
        <v>128</v>
      </c>
      <c r="E17" s="26">
        <v>624</v>
      </c>
      <c r="F17" s="26">
        <v>228</v>
      </c>
    </row>
    <row r="18" spans="1:6" x14ac:dyDescent="0.2">
      <c r="A18" s="9" t="s">
        <v>87</v>
      </c>
      <c r="B18" s="25">
        <v>225</v>
      </c>
      <c r="C18" s="25">
        <v>410</v>
      </c>
      <c r="D18" s="25">
        <v>131</v>
      </c>
      <c r="E18" s="25">
        <v>648</v>
      </c>
      <c r="F18" s="25">
        <v>233</v>
      </c>
    </row>
    <row r="21" spans="1:6" ht="21.75" customHeight="1" x14ac:dyDescent="0.2">
      <c r="A21" s="58" t="s">
        <v>88</v>
      </c>
      <c r="B21" s="58"/>
      <c r="C21" s="58"/>
      <c r="D21" s="58"/>
      <c r="E21" s="58"/>
      <c r="F21" s="58"/>
    </row>
    <row r="22" spans="1:6" ht="21.75" customHeight="1" x14ac:dyDescent="0.2">
      <c r="A22" s="27" t="s">
        <v>63</v>
      </c>
      <c r="B22" s="27" t="s">
        <v>65</v>
      </c>
      <c r="C22" s="27" t="s">
        <v>66</v>
      </c>
      <c r="D22" s="27" t="s">
        <v>67</v>
      </c>
      <c r="E22" s="27" t="s">
        <v>89</v>
      </c>
      <c r="F22" s="27" t="s">
        <v>90</v>
      </c>
    </row>
    <row r="23" spans="1:6" x14ac:dyDescent="0.2">
      <c r="A23" s="13" t="s">
        <v>68</v>
      </c>
      <c r="B23" s="14" t="s">
        <v>70</v>
      </c>
      <c r="C23" s="15">
        <v>243</v>
      </c>
      <c r="D23" s="15">
        <v>225</v>
      </c>
      <c r="E23" s="28">
        <v>-7.4074074074074098E-2</v>
      </c>
      <c r="F23" s="2" t="s">
        <v>91</v>
      </c>
    </row>
    <row r="24" spans="1:6" x14ac:dyDescent="0.2">
      <c r="A24" s="13" t="s">
        <v>71</v>
      </c>
      <c r="B24" s="14" t="s">
        <v>70</v>
      </c>
      <c r="C24" s="15">
        <v>442</v>
      </c>
      <c r="D24" s="15">
        <v>410</v>
      </c>
      <c r="E24" s="28">
        <v>-7.2398190045248903E-2</v>
      </c>
      <c r="F24" s="2" t="s">
        <v>91</v>
      </c>
    </row>
    <row r="25" spans="1:6" x14ac:dyDescent="0.2">
      <c r="A25" s="16" t="s">
        <v>73</v>
      </c>
      <c r="B25" s="17" t="s">
        <v>75</v>
      </c>
      <c r="C25" s="19">
        <v>108.5</v>
      </c>
      <c r="D25" s="19">
        <v>131</v>
      </c>
      <c r="E25" s="29">
        <v>0.207373271889401</v>
      </c>
      <c r="F25" s="18" t="s">
        <v>92</v>
      </c>
    </row>
    <row r="26" spans="1:6" x14ac:dyDescent="0.2">
      <c r="A26" s="16" t="s">
        <v>76</v>
      </c>
      <c r="B26" s="17" t="s">
        <v>78</v>
      </c>
      <c r="C26" s="19">
        <v>527</v>
      </c>
      <c r="D26" s="19">
        <v>648</v>
      </c>
      <c r="E26" s="29">
        <v>0.229601518026566</v>
      </c>
      <c r="F26" s="18" t="s">
        <v>92</v>
      </c>
    </row>
    <row r="27" spans="1:6" x14ac:dyDescent="0.2">
      <c r="A27" s="13" t="s">
        <v>79</v>
      </c>
      <c r="B27" s="14" t="s">
        <v>81</v>
      </c>
      <c r="C27" s="15">
        <v>239.5</v>
      </c>
      <c r="D27" s="15">
        <v>233</v>
      </c>
      <c r="E27" s="28">
        <v>-2.7139874739039699E-2</v>
      </c>
      <c r="F27" s="2" t="s">
        <v>91</v>
      </c>
    </row>
  </sheetData>
  <mergeCells count="5">
    <mergeCell ref="A1:H1"/>
    <mergeCell ref="A2:H2"/>
    <mergeCell ref="A4:E4"/>
    <mergeCell ref="A13:F13"/>
    <mergeCell ref="A21:F21"/>
  </mergeCells>
  <conditionalFormatting sqref="B15:F18">
    <cfRule type="colorScale" priority="2">
      <colorScale>
        <cfvo type="min"/>
        <cfvo type="percentile" val="50"/>
        <cfvo type="max"/>
        <color rgb="FFFCE4D6"/>
        <color rgb="FFFFFFFF"/>
        <color rgb="FFE2EFDA"/>
      </colorScale>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zoomScale="120" zoomScaleNormal="120" workbookViewId="0">
      <selection activeCell="A2" sqref="A2:G2"/>
    </sheetView>
  </sheetViews>
  <sheetFormatPr baseColWidth="10" defaultColWidth="8.6640625" defaultRowHeight="15" x14ac:dyDescent="0.2"/>
  <cols>
    <col min="1" max="1" width="18" customWidth="1"/>
    <col min="2" max="2" width="16" customWidth="1"/>
    <col min="3" max="7" width="14" customWidth="1"/>
  </cols>
  <sheetData>
    <row r="1" spans="1:7" ht="45" customHeight="1" x14ac:dyDescent="0.2">
      <c r="A1" s="65" t="s">
        <v>93</v>
      </c>
      <c r="B1" s="65"/>
      <c r="C1" s="65"/>
      <c r="D1" s="65"/>
      <c r="E1" s="65"/>
      <c r="F1" s="65"/>
      <c r="G1" s="65"/>
    </row>
    <row r="2" spans="1:7" ht="19.5" customHeight="1" x14ac:dyDescent="0.2">
      <c r="A2" s="66" t="s">
        <v>94</v>
      </c>
      <c r="B2" s="66"/>
      <c r="C2" s="66"/>
      <c r="D2" s="66"/>
      <c r="E2" s="66"/>
      <c r="F2" s="66"/>
      <c r="G2" s="66"/>
    </row>
    <row r="4" spans="1:7" ht="25.5" customHeight="1" x14ac:dyDescent="0.2">
      <c r="A4" s="52" t="s">
        <v>95</v>
      </c>
      <c r="B4" s="52"/>
      <c r="C4" s="52"/>
      <c r="D4" s="52"/>
      <c r="E4" s="52"/>
      <c r="F4" s="52"/>
      <c r="G4" s="52"/>
    </row>
    <row r="5" spans="1:7" ht="21.75" customHeight="1" x14ac:dyDescent="0.2">
      <c r="A5" s="1" t="s">
        <v>65</v>
      </c>
      <c r="B5" s="1" t="s">
        <v>96</v>
      </c>
      <c r="C5" s="1" t="s">
        <v>97</v>
      </c>
      <c r="D5" s="1" t="s">
        <v>24</v>
      </c>
      <c r="E5" s="53" t="s">
        <v>98</v>
      </c>
      <c r="F5" s="53"/>
      <c r="G5" s="53"/>
    </row>
    <row r="6" spans="1:7" ht="19.5" customHeight="1" x14ac:dyDescent="0.2">
      <c r="A6" s="30" t="s">
        <v>70</v>
      </c>
      <c r="B6" s="14" t="s">
        <v>99</v>
      </c>
      <c r="C6" s="2" t="s">
        <v>100</v>
      </c>
      <c r="D6" s="30" t="s">
        <v>101</v>
      </c>
      <c r="E6" s="63" t="s">
        <v>102</v>
      </c>
      <c r="F6" s="63"/>
      <c r="G6" s="63"/>
    </row>
    <row r="7" spans="1:7" ht="19.5" customHeight="1" x14ac:dyDescent="0.2">
      <c r="A7" s="31" t="s">
        <v>75</v>
      </c>
      <c r="B7" s="17" t="s">
        <v>103</v>
      </c>
      <c r="C7" s="18" t="s">
        <v>104</v>
      </c>
      <c r="D7" s="31" t="s">
        <v>105</v>
      </c>
      <c r="E7" s="61" t="s">
        <v>106</v>
      </c>
      <c r="F7" s="61"/>
      <c r="G7" s="61"/>
    </row>
    <row r="8" spans="1:7" ht="19.5" customHeight="1" x14ac:dyDescent="0.2">
      <c r="A8" s="31" t="s">
        <v>78</v>
      </c>
      <c r="B8" s="17" t="s">
        <v>107</v>
      </c>
      <c r="C8" s="18" t="s">
        <v>108</v>
      </c>
      <c r="D8" s="31" t="s">
        <v>105</v>
      </c>
      <c r="E8" s="61" t="s">
        <v>109</v>
      </c>
      <c r="F8" s="61"/>
      <c r="G8" s="61"/>
    </row>
    <row r="9" spans="1:7" ht="19.5" customHeight="1" x14ac:dyDescent="0.2">
      <c r="A9" s="30" t="s">
        <v>110</v>
      </c>
      <c r="B9" s="14" t="s">
        <v>111</v>
      </c>
      <c r="C9" s="2" t="s">
        <v>112</v>
      </c>
      <c r="D9" s="30" t="s">
        <v>101</v>
      </c>
      <c r="E9" s="63" t="s">
        <v>113</v>
      </c>
      <c r="F9" s="63"/>
      <c r="G9" s="63"/>
    </row>
    <row r="10" spans="1:7" ht="19.5" customHeight="1" x14ac:dyDescent="0.2">
      <c r="A10" s="30" t="s">
        <v>114</v>
      </c>
      <c r="B10" s="14" t="s">
        <v>115</v>
      </c>
      <c r="C10" s="2" t="s">
        <v>116</v>
      </c>
      <c r="D10" s="30" t="s">
        <v>101</v>
      </c>
      <c r="E10" s="63" t="s">
        <v>117</v>
      </c>
      <c r="F10" s="63"/>
      <c r="G10" s="63"/>
    </row>
    <row r="11" spans="1:7" ht="19.5" customHeight="1" x14ac:dyDescent="0.2">
      <c r="A11" s="32" t="s">
        <v>81</v>
      </c>
      <c r="B11" s="21" t="s">
        <v>118</v>
      </c>
      <c r="C11" s="33" t="s">
        <v>119</v>
      </c>
      <c r="D11" s="32" t="s">
        <v>120</v>
      </c>
      <c r="E11" s="64" t="s">
        <v>121</v>
      </c>
      <c r="F11" s="64"/>
      <c r="G11" s="64"/>
    </row>
    <row r="12" spans="1:7" ht="19.5" customHeight="1" x14ac:dyDescent="0.2">
      <c r="A12" s="31" t="s">
        <v>122</v>
      </c>
      <c r="B12" s="17" t="s">
        <v>123</v>
      </c>
      <c r="C12" s="18" t="s">
        <v>124</v>
      </c>
      <c r="D12" s="31" t="s">
        <v>105</v>
      </c>
      <c r="E12" s="61" t="s">
        <v>125</v>
      </c>
      <c r="F12" s="61"/>
      <c r="G12" s="61"/>
    </row>
    <row r="13" spans="1:7" ht="19.5" customHeight="1" x14ac:dyDescent="0.2">
      <c r="A13" s="34" t="s">
        <v>126</v>
      </c>
      <c r="B13" s="35" t="s">
        <v>127</v>
      </c>
      <c r="C13" s="36" t="s">
        <v>128</v>
      </c>
      <c r="D13" s="34" t="s">
        <v>129</v>
      </c>
      <c r="E13" s="62" t="s">
        <v>130</v>
      </c>
      <c r="F13" s="62"/>
      <c r="G13" s="62"/>
    </row>
    <row r="15" spans="1:7" ht="25.5" customHeight="1" x14ac:dyDescent="0.2">
      <c r="A15" s="49" t="s">
        <v>131</v>
      </c>
      <c r="B15" s="49"/>
      <c r="C15" s="49"/>
      <c r="D15" s="49"/>
      <c r="E15" s="49"/>
      <c r="F15" s="49"/>
      <c r="G15" s="49"/>
    </row>
    <row r="16" spans="1:7" ht="30" customHeight="1" x14ac:dyDescent="0.2">
      <c r="A16" s="37" t="s">
        <v>132</v>
      </c>
      <c r="B16" s="59" t="s">
        <v>133</v>
      </c>
      <c r="C16" s="59"/>
      <c r="D16" s="59"/>
      <c r="E16" s="59"/>
      <c r="F16" s="59"/>
      <c r="G16" s="59"/>
    </row>
    <row r="17" spans="1:7" ht="30" customHeight="1" x14ac:dyDescent="0.2">
      <c r="A17" s="38" t="s">
        <v>134</v>
      </c>
      <c r="B17" s="60" t="s">
        <v>135</v>
      </c>
      <c r="C17" s="60"/>
      <c r="D17" s="60"/>
      <c r="E17" s="60"/>
      <c r="F17" s="60"/>
      <c r="G17" s="60"/>
    </row>
    <row r="18" spans="1:7" ht="30" customHeight="1" x14ac:dyDescent="0.2">
      <c r="A18" s="37" t="s">
        <v>136</v>
      </c>
      <c r="B18" s="59" t="s">
        <v>137</v>
      </c>
      <c r="C18" s="59"/>
      <c r="D18" s="59"/>
      <c r="E18" s="59"/>
      <c r="F18" s="59"/>
      <c r="G18" s="59"/>
    </row>
    <row r="19" spans="1:7" ht="30" customHeight="1" x14ac:dyDescent="0.2">
      <c r="A19" s="38" t="s">
        <v>138</v>
      </c>
      <c r="B19" s="60" t="s">
        <v>139</v>
      </c>
      <c r="C19" s="60"/>
      <c r="D19" s="60"/>
      <c r="E19" s="60"/>
      <c r="F19" s="60"/>
      <c r="G19" s="60"/>
    </row>
    <row r="20" spans="1:7" ht="30" customHeight="1" x14ac:dyDescent="0.2">
      <c r="A20" s="37" t="s">
        <v>140</v>
      </c>
      <c r="B20" s="59" t="s">
        <v>141</v>
      </c>
      <c r="C20" s="59"/>
      <c r="D20" s="59"/>
      <c r="E20" s="59"/>
      <c r="F20" s="59"/>
      <c r="G20" s="59"/>
    </row>
    <row r="21" spans="1:7" ht="30" customHeight="1" x14ac:dyDescent="0.2">
      <c r="A21" s="38" t="s">
        <v>142</v>
      </c>
      <c r="B21" s="60" t="s">
        <v>143</v>
      </c>
      <c r="C21" s="60"/>
      <c r="D21" s="60"/>
      <c r="E21" s="60"/>
      <c r="F21" s="60"/>
      <c r="G21" s="60"/>
    </row>
  </sheetData>
  <mergeCells count="19">
    <mergeCell ref="A1:G1"/>
    <mergeCell ref="A2:G2"/>
    <mergeCell ref="A4:G4"/>
    <mergeCell ref="E5:G5"/>
    <mergeCell ref="E6:G6"/>
    <mergeCell ref="E7:G7"/>
    <mergeCell ref="E8:G8"/>
    <mergeCell ref="E9:G9"/>
    <mergeCell ref="E10:G10"/>
    <mergeCell ref="E11:G11"/>
    <mergeCell ref="B18:G18"/>
    <mergeCell ref="B19:G19"/>
    <mergeCell ref="B20:G20"/>
    <mergeCell ref="B21:G21"/>
    <mergeCell ref="E12:G12"/>
    <mergeCell ref="E13:G13"/>
    <mergeCell ref="A15:G15"/>
    <mergeCell ref="B16:G16"/>
    <mergeCell ref="B17:G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9"/>
  <sheetViews>
    <sheetView tabSelected="1" topLeftCell="A2" zoomScale="120" zoomScaleNormal="120" workbookViewId="0">
      <selection activeCell="B16" sqref="B16"/>
    </sheetView>
  </sheetViews>
  <sheetFormatPr baseColWidth="10" defaultColWidth="8.6640625" defaultRowHeight="15" x14ac:dyDescent="0.2"/>
  <cols>
    <col min="1" max="1" width="30" customWidth="1"/>
    <col min="2" max="2" width="16" customWidth="1"/>
    <col min="3" max="3" width="20" customWidth="1"/>
    <col min="4" max="5" width="10" customWidth="1"/>
  </cols>
  <sheetData>
    <row r="1" spans="1:5" ht="39.75" customHeight="1" x14ac:dyDescent="0.2">
      <c r="A1" s="70" t="s">
        <v>144</v>
      </c>
      <c r="B1" s="70"/>
      <c r="C1" s="70"/>
      <c r="D1" s="70"/>
      <c r="E1" s="70"/>
    </row>
    <row r="2" spans="1:5" ht="18" customHeight="1" x14ac:dyDescent="0.2">
      <c r="A2" s="71" t="s">
        <v>145</v>
      </c>
      <c r="B2" s="71"/>
      <c r="C2" s="71"/>
      <c r="D2" s="71"/>
      <c r="E2" s="71"/>
    </row>
    <row r="4" spans="1:5" ht="21.75" customHeight="1" x14ac:dyDescent="0.2">
      <c r="A4" s="56" t="s">
        <v>146</v>
      </c>
      <c r="B4" s="56"/>
      <c r="C4" s="56"/>
      <c r="D4" s="56"/>
      <c r="E4" s="56"/>
    </row>
    <row r="5" spans="1:5" x14ac:dyDescent="0.2">
      <c r="A5" s="39" t="s">
        <v>147</v>
      </c>
      <c r="B5" s="40">
        <f>MAX('2_Stock_Price_Data'!E15:E18)</f>
        <v>648</v>
      </c>
      <c r="C5" s="67" t="s">
        <v>148</v>
      </c>
      <c r="D5" s="67"/>
      <c r="E5" s="67"/>
    </row>
    <row r="6" spans="1:5" x14ac:dyDescent="0.2">
      <c r="A6" s="39" t="s">
        <v>149</v>
      </c>
      <c r="B6" s="40">
        <f>MIN('2_Stock_Price_Data'!B15:B18)</f>
        <v>218</v>
      </c>
      <c r="C6" s="67" t="s">
        <v>150</v>
      </c>
      <c r="D6" s="67"/>
      <c r="E6" s="67"/>
    </row>
    <row r="7" spans="1:5" x14ac:dyDescent="0.2">
      <c r="A7" s="39" t="s">
        <v>151</v>
      </c>
      <c r="B7" s="40">
        <f>AVERAGE('2_Stock_Price_Data'!D15:D18)</f>
        <v>119.875</v>
      </c>
      <c r="C7" s="67" t="s">
        <v>152</v>
      </c>
      <c r="D7" s="67"/>
      <c r="E7" s="67"/>
    </row>
    <row r="8" spans="1:5" x14ac:dyDescent="0.2">
      <c r="A8" s="39" t="s">
        <v>153</v>
      </c>
      <c r="B8" s="41">
        <f>COUNT('2_Stock_Price_Data'!B15:B18)</f>
        <v>4</v>
      </c>
      <c r="C8" s="67" t="s">
        <v>154</v>
      </c>
      <c r="D8" s="67"/>
      <c r="E8" s="67"/>
    </row>
    <row r="10" spans="1:5" ht="21.75" customHeight="1" x14ac:dyDescent="0.2">
      <c r="A10" s="58" t="s">
        <v>155</v>
      </c>
      <c r="B10" s="58"/>
      <c r="C10" s="58"/>
      <c r="D10" s="58"/>
      <c r="E10" s="58"/>
    </row>
    <row r="11" spans="1:5" x14ac:dyDescent="0.2">
      <c r="A11" s="39" t="s">
        <v>156</v>
      </c>
      <c r="B11" s="29">
        <f>('2_Stock_Price_Data'!B18-'2_Stock_Price_Data'!B15)/'2_Stock_Price_Data'!B15</f>
        <v>-7.407407407407407E-2</v>
      </c>
      <c r="C11" s="67" t="s">
        <v>157</v>
      </c>
      <c r="D11" s="67"/>
      <c r="E11" s="67"/>
    </row>
    <row r="12" spans="1:5" x14ac:dyDescent="0.2">
      <c r="A12" s="39" t="s">
        <v>158</v>
      </c>
      <c r="B12" s="29">
        <f>('2_Stock_Price_Data'!C18-'2_Stock_Price_Data'!C15)/'2_Stock_Price_Data'!C15</f>
        <v>-7.2398190045248875E-2</v>
      </c>
      <c r="C12" s="67" t="s">
        <v>159</v>
      </c>
      <c r="D12" s="67"/>
      <c r="E12" s="67"/>
    </row>
    <row r="13" spans="1:5" x14ac:dyDescent="0.2">
      <c r="A13" s="39" t="s">
        <v>160</v>
      </c>
      <c r="B13" s="29">
        <f>('2_Stock_Price_Data'!D18-'2_Stock_Price_Data'!D15)/'2_Stock_Price_Data'!D15</f>
        <v>0.20737327188940091</v>
      </c>
      <c r="C13" s="67" t="s">
        <v>161</v>
      </c>
      <c r="D13" s="67"/>
      <c r="E13" s="67"/>
    </row>
    <row r="14" spans="1:5" x14ac:dyDescent="0.2">
      <c r="A14" s="39" t="s">
        <v>162</v>
      </c>
      <c r="B14" s="29">
        <f>('2_Stock_Price_Data'!E18-'2_Stock_Price_Data'!E15)/'2_Stock_Price_Data'!E15</f>
        <v>0.22960151802656548</v>
      </c>
      <c r="C14" s="67" t="s">
        <v>163</v>
      </c>
      <c r="D14" s="67"/>
      <c r="E14" s="67"/>
    </row>
    <row r="15" spans="1:5" x14ac:dyDescent="0.2">
      <c r="A15" s="39" t="s">
        <v>164</v>
      </c>
      <c r="B15" s="29">
        <f>('2_Stock_Price_Data'!F18-'2_Stock_Price_Data'!F15)/'2_Stock_Price_Data'!F15</f>
        <v>-2.7139874739039668E-2</v>
      </c>
      <c r="C15" s="67" t="s">
        <v>165</v>
      </c>
      <c r="D15" s="67"/>
      <c r="E15" s="67"/>
    </row>
    <row r="17" spans="1:5" ht="21.75" customHeight="1" x14ac:dyDescent="0.2">
      <c r="A17" s="69" t="s">
        <v>166</v>
      </c>
      <c r="B17" s="69"/>
      <c r="C17" s="69"/>
      <c r="D17" s="69"/>
      <c r="E17" s="69"/>
    </row>
    <row r="18" spans="1:5" ht="16" x14ac:dyDescent="0.2">
      <c r="A18" s="39" t="s">
        <v>167</v>
      </c>
      <c r="B18" s="42" t="s">
        <v>68</v>
      </c>
      <c r="C18" s="67" t="s">
        <v>168</v>
      </c>
      <c r="D18" s="67"/>
      <c r="E18" s="67"/>
    </row>
    <row r="19" spans="1:5" x14ac:dyDescent="0.2">
      <c r="A19" s="39" t="s">
        <v>169</v>
      </c>
      <c r="B19" s="18" t="str">
        <f>VLOOKUP(B18,'2_Stock_Price_Data'!A6:F10,2,FALSE())</f>
        <v>Apple Inc.</v>
      </c>
      <c r="C19" s="67" t="s">
        <v>170</v>
      </c>
      <c r="D19" s="67"/>
      <c r="E19" s="67"/>
    </row>
    <row r="20" spans="1:5" x14ac:dyDescent="0.2">
      <c r="A20" s="39" t="s">
        <v>65</v>
      </c>
      <c r="B20" s="18" t="str">
        <f>VLOOKUP(B18,'2_Stock_Price_Data'!A6:F10,3,FALSE())</f>
        <v>Technology</v>
      </c>
      <c r="C20" s="67" t="s">
        <v>171</v>
      </c>
      <c r="D20" s="67"/>
      <c r="E20" s="67"/>
    </row>
    <row r="21" spans="1:5" x14ac:dyDescent="0.2">
      <c r="A21" s="39" t="s">
        <v>66</v>
      </c>
      <c r="B21" s="40">
        <f>VLOOKUP(B18,'2_Stock_Price_Data'!A6:F10,4,FALSE())</f>
        <v>243</v>
      </c>
      <c r="C21" s="67" t="s">
        <v>172</v>
      </c>
      <c r="D21" s="67"/>
      <c r="E21" s="67"/>
    </row>
    <row r="22" spans="1:5" x14ac:dyDescent="0.2">
      <c r="A22" s="39" t="s">
        <v>67</v>
      </c>
      <c r="B22" s="40">
        <f>VLOOKUP(B18,'2_Stock_Price_Data'!A6:F10,5,FALSE())</f>
        <v>225</v>
      </c>
      <c r="C22" s="67" t="s">
        <v>173</v>
      </c>
      <c r="D22" s="67"/>
      <c r="E22" s="67"/>
    </row>
    <row r="24" spans="1:5" ht="21.75" customHeight="1" x14ac:dyDescent="0.2">
      <c r="A24" s="68" t="s">
        <v>174</v>
      </c>
      <c r="B24" s="68"/>
      <c r="C24" s="68"/>
      <c r="D24" s="68"/>
      <c r="E24" s="68"/>
    </row>
    <row r="25" spans="1:5" x14ac:dyDescent="0.2">
      <c r="A25" s="39" t="s">
        <v>175</v>
      </c>
      <c r="B25" s="40">
        <f>STDEV('2_Stock_Price_Data'!B15:B18)</f>
        <v>14.98888477061141</v>
      </c>
      <c r="C25" s="67" t="s">
        <v>176</v>
      </c>
      <c r="D25" s="67"/>
      <c r="E25" s="67"/>
    </row>
    <row r="26" spans="1:5" x14ac:dyDescent="0.2">
      <c r="A26" s="39" t="s">
        <v>177</v>
      </c>
      <c r="B26" s="40">
        <f>STDEV('2_Stock_Price_Data'!C15:C18)</f>
        <v>25.408331966765022</v>
      </c>
      <c r="C26" s="67" t="s">
        <v>178</v>
      </c>
      <c r="D26" s="67"/>
      <c r="E26" s="67"/>
    </row>
    <row r="27" spans="1:5" x14ac:dyDescent="0.2">
      <c r="A27" s="39" t="s">
        <v>179</v>
      </c>
      <c r="B27" s="40">
        <f>STDEV('2_Stock_Price_Data'!D15:D18)</f>
        <v>11.272200317595496</v>
      </c>
      <c r="C27" s="67" t="s">
        <v>180</v>
      </c>
      <c r="D27" s="67"/>
      <c r="E27" s="67"/>
    </row>
    <row r="28" spans="1:5" x14ac:dyDescent="0.2">
      <c r="A28" s="39" t="s">
        <v>181</v>
      </c>
      <c r="B28" s="40">
        <f>STDEV('2_Stock_Price_Data'!E15:E18)</f>
        <v>64.265076052238513</v>
      </c>
      <c r="C28" s="67" t="s">
        <v>182</v>
      </c>
      <c r="D28" s="67"/>
      <c r="E28" s="67"/>
    </row>
    <row r="29" spans="1:5" x14ac:dyDescent="0.2">
      <c r="A29" s="39" t="s">
        <v>183</v>
      </c>
      <c r="B29" s="40">
        <f>STDEV('2_Stock_Price_Data'!F15:F18)</f>
        <v>7.0518909993466758</v>
      </c>
      <c r="C29" s="67" t="s">
        <v>184</v>
      </c>
      <c r="D29" s="67"/>
      <c r="E29" s="67"/>
    </row>
  </sheetData>
  <mergeCells count="25">
    <mergeCell ref="A1:E1"/>
    <mergeCell ref="A2:E2"/>
    <mergeCell ref="A4:E4"/>
    <mergeCell ref="C5:E5"/>
    <mergeCell ref="C6:E6"/>
    <mergeCell ref="C7:E7"/>
    <mergeCell ref="C8:E8"/>
    <mergeCell ref="A10:E10"/>
    <mergeCell ref="C11:E11"/>
    <mergeCell ref="C12:E12"/>
    <mergeCell ref="C13:E13"/>
    <mergeCell ref="C14:E14"/>
    <mergeCell ref="C15:E15"/>
    <mergeCell ref="A17:E17"/>
    <mergeCell ref="C18:E18"/>
    <mergeCell ref="C19:E19"/>
    <mergeCell ref="C20:E20"/>
    <mergeCell ref="C21:E21"/>
    <mergeCell ref="C22:E22"/>
    <mergeCell ref="A24:E24"/>
    <mergeCell ref="C25:E25"/>
    <mergeCell ref="C26:E26"/>
    <mergeCell ref="C27:E27"/>
    <mergeCell ref="C28:E28"/>
    <mergeCell ref="C29:E2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14"/>
  <sheetViews>
    <sheetView topLeftCell="A15" zoomScaleNormal="100" workbookViewId="0">
      <selection activeCell="A2" sqref="A2:Q2"/>
    </sheetView>
  </sheetViews>
  <sheetFormatPr baseColWidth="10" defaultColWidth="8.6640625" defaultRowHeight="15" x14ac:dyDescent="0.2"/>
  <sheetData>
    <row r="1" spans="1:17" ht="54.75" customHeight="1" x14ac:dyDescent="0.2">
      <c r="A1" s="81" t="s">
        <v>185</v>
      </c>
      <c r="B1" s="81"/>
      <c r="C1" s="81"/>
      <c r="D1" s="81"/>
      <c r="E1" s="81"/>
      <c r="F1" s="81"/>
      <c r="G1" s="81"/>
      <c r="H1" s="81"/>
      <c r="I1" s="81"/>
      <c r="J1" s="81"/>
      <c r="K1" s="81"/>
      <c r="L1" s="81"/>
      <c r="M1" s="81"/>
      <c r="N1" s="81"/>
      <c r="O1" s="81"/>
      <c r="P1" s="81"/>
      <c r="Q1" s="81"/>
    </row>
    <row r="2" spans="1:17" ht="19.5" customHeight="1" x14ac:dyDescent="0.2">
      <c r="A2" s="51" t="s">
        <v>186</v>
      </c>
      <c r="B2" s="51"/>
      <c r="C2" s="51"/>
      <c r="D2" s="51"/>
      <c r="E2" s="51"/>
      <c r="F2" s="51"/>
      <c r="G2" s="51"/>
      <c r="H2" s="51"/>
      <c r="I2" s="51"/>
      <c r="J2" s="51"/>
      <c r="K2" s="51"/>
      <c r="L2" s="51"/>
      <c r="M2" s="51"/>
      <c r="N2" s="51"/>
      <c r="O2" s="51"/>
      <c r="P2" s="51"/>
      <c r="Q2" s="51"/>
    </row>
    <row r="4" spans="1:17" ht="19.5" customHeight="1" x14ac:dyDescent="0.2">
      <c r="A4" s="82" t="s">
        <v>187</v>
      </c>
      <c r="B4" s="82"/>
      <c r="C4" s="83" t="s">
        <v>188</v>
      </c>
      <c r="D4" s="83"/>
      <c r="E4" s="83" t="s">
        <v>189</v>
      </c>
      <c r="F4" s="83"/>
      <c r="G4" s="84" t="s">
        <v>190</v>
      </c>
      <c r="H4" s="84"/>
      <c r="I4" s="83" t="s">
        <v>191</v>
      </c>
      <c r="J4" s="83"/>
      <c r="K4" s="85" t="s">
        <v>192</v>
      </c>
      <c r="L4" s="85"/>
    </row>
    <row r="5" spans="1:17" ht="31.5" customHeight="1" x14ac:dyDescent="0.2">
      <c r="A5" s="77" t="s">
        <v>5</v>
      </c>
      <c r="B5" s="77"/>
      <c r="C5" s="78" t="s">
        <v>193</v>
      </c>
      <c r="D5" s="78"/>
      <c r="E5" s="79" t="s">
        <v>194</v>
      </c>
      <c r="F5" s="79"/>
      <c r="G5" s="80" t="s">
        <v>195</v>
      </c>
      <c r="H5" s="80"/>
      <c r="I5" s="78" t="s">
        <v>196</v>
      </c>
      <c r="J5" s="78"/>
      <c r="K5" s="75" t="s">
        <v>197</v>
      </c>
      <c r="L5" s="75"/>
    </row>
    <row r="6" spans="1:17" ht="7.5" customHeight="1" x14ac:dyDescent="0.2"/>
    <row r="29" spans="1:17" ht="25.5" customHeight="1" x14ac:dyDescent="0.2">
      <c r="A29" s="52" t="s">
        <v>198</v>
      </c>
      <c r="B29" s="52"/>
      <c r="C29" s="52"/>
      <c r="D29" s="52"/>
      <c r="E29" s="52"/>
      <c r="F29" s="52"/>
      <c r="G29" s="52"/>
      <c r="H29" s="52"/>
      <c r="J29" s="49" t="s">
        <v>199</v>
      </c>
      <c r="K29" s="49"/>
      <c r="L29" s="49"/>
      <c r="M29" s="49"/>
      <c r="N29" s="49"/>
      <c r="O29" s="49"/>
      <c r="P29" s="49"/>
      <c r="Q29" s="49"/>
    </row>
    <row r="30" spans="1:17" ht="21.75" customHeight="1" x14ac:dyDescent="0.2">
      <c r="A30" s="1" t="s">
        <v>200</v>
      </c>
      <c r="B30" s="1" t="s">
        <v>64</v>
      </c>
      <c r="C30" s="1" t="s">
        <v>65</v>
      </c>
      <c r="D30" s="1" t="s">
        <v>201</v>
      </c>
      <c r="E30" s="1" t="s">
        <v>202</v>
      </c>
      <c r="F30" s="1" t="s">
        <v>203</v>
      </c>
      <c r="G30" s="1" t="s">
        <v>204</v>
      </c>
      <c r="H30" s="1" t="s">
        <v>205</v>
      </c>
    </row>
    <row r="31" spans="1:17" ht="21.75" customHeight="1" x14ac:dyDescent="0.2">
      <c r="A31" s="13" t="s">
        <v>68</v>
      </c>
      <c r="B31" s="14" t="s">
        <v>69</v>
      </c>
      <c r="C31" s="14" t="s">
        <v>70</v>
      </c>
      <c r="D31" s="15">
        <v>243</v>
      </c>
      <c r="E31" s="26">
        <v>218</v>
      </c>
      <c r="F31" s="15">
        <v>225</v>
      </c>
      <c r="G31" s="28">
        <v>-7.4074074074074098E-2</v>
      </c>
      <c r="H31" s="43" t="s">
        <v>206</v>
      </c>
      <c r="J31" s="76" t="s">
        <v>207</v>
      </c>
      <c r="K31" s="76"/>
      <c r="L31" s="76"/>
      <c r="M31" s="76"/>
      <c r="N31" s="76"/>
      <c r="O31" s="76"/>
      <c r="P31" s="76"/>
      <c r="Q31" s="76"/>
    </row>
    <row r="32" spans="1:17" ht="21.75" customHeight="1" x14ac:dyDescent="0.2">
      <c r="A32" s="13" t="s">
        <v>71</v>
      </c>
      <c r="B32" s="14" t="s">
        <v>72</v>
      </c>
      <c r="C32" s="14" t="s">
        <v>70</v>
      </c>
      <c r="D32" s="15">
        <v>442</v>
      </c>
      <c r="E32" s="26">
        <v>395</v>
      </c>
      <c r="F32" s="15">
        <v>410</v>
      </c>
      <c r="G32" s="28">
        <v>-7.2398190045248903E-2</v>
      </c>
      <c r="H32" s="43" t="s">
        <v>206</v>
      </c>
      <c r="J32" s="63" t="s">
        <v>208</v>
      </c>
      <c r="K32" s="63"/>
      <c r="L32" s="63"/>
      <c r="M32" s="63"/>
      <c r="N32" s="63"/>
      <c r="O32" s="63"/>
      <c r="P32" s="63"/>
      <c r="Q32" s="63"/>
    </row>
    <row r="33" spans="1:17" ht="21.75" customHeight="1" x14ac:dyDescent="0.2">
      <c r="A33" s="16" t="s">
        <v>73</v>
      </c>
      <c r="B33" s="17" t="s">
        <v>74</v>
      </c>
      <c r="C33" s="17" t="s">
        <v>75</v>
      </c>
      <c r="D33" s="19">
        <v>108.5</v>
      </c>
      <c r="E33" s="26">
        <v>128</v>
      </c>
      <c r="F33" s="19">
        <v>131</v>
      </c>
      <c r="G33" s="29">
        <v>0.207373271889401</v>
      </c>
      <c r="H33" s="44" t="s">
        <v>209</v>
      </c>
      <c r="J33" s="72" t="s">
        <v>210</v>
      </c>
      <c r="K33" s="72"/>
      <c r="L33" s="72"/>
      <c r="M33" s="72"/>
      <c r="N33" s="72"/>
      <c r="O33" s="72"/>
      <c r="P33" s="72"/>
      <c r="Q33" s="72"/>
    </row>
    <row r="34" spans="1:17" ht="21.75" customHeight="1" x14ac:dyDescent="0.2">
      <c r="A34" s="16" t="s">
        <v>76</v>
      </c>
      <c r="B34" s="17" t="s">
        <v>77</v>
      </c>
      <c r="C34" s="17" t="s">
        <v>78</v>
      </c>
      <c r="D34" s="19">
        <v>527</v>
      </c>
      <c r="E34" s="26">
        <v>624</v>
      </c>
      <c r="F34" s="19">
        <v>648</v>
      </c>
      <c r="G34" s="29">
        <v>0.229601518026566</v>
      </c>
      <c r="H34" s="44" t="s">
        <v>211</v>
      </c>
      <c r="J34" s="63" t="s">
        <v>212</v>
      </c>
      <c r="K34" s="63"/>
      <c r="L34" s="63"/>
      <c r="M34" s="63"/>
      <c r="N34" s="63"/>
      <c r="O34" s="63"/>
      <c r="P34" s="63"/>
      <c r="Q34" s="63"/>
    </row>
    <row r="35" spans="1:17" ht="21.75" customHeight="1" x14ac:dyDescent="0.2">
      <c r="A35" s="13" t="s">
        <v>79</v>
      </c>
      <c r="B35" s="14" t="s">
        <v>80</v>
      </c>
      <c r="C35" s="14" t="s">
        <v>81</v>
      </c>
      <c r="D35" s="15">
        <v>239.5</v>
      </c>
      <c r="E35" s="26">
        <v>228</v>
      </c>
      <c r="F35" s="15">
        <v>233</v>
      </c>
      <c r="G35" s="28">
        <v>-2.7139874739039699E-2</v>
      </c>
      <c r="H35" s="43" t="s">
        <v>213</v>
      </c>
      <c r="J35" s="64" t="s">
        <v>214</v>
      </c>
      <c r="K35" s="64"/>
      <c r="L35" s="64"/>
      <c r="M35" s="64"/>
      <c r="N35" s="64"/>
      <c r="O35" s="64"/>
      <c r="P35" s="64"/>
      <c r="Q35" s="64"/>
    </row>
    <row r="36" spans="1:17" ht="21.75" customHeight="1" x14ac:dyDescent="0.2">
      <c r="J36" s="73" t="s">
        <v>215</v>
      </c>
      <c r="K36" s="73"/>
      <c r="L36" s="73"/>
      <c r="M36" s="73"/>
      <c r="N36" s="73"/>
      <c r="O36" s="73"/>
      <c r="P36" s="73"/>
      <c r="Q36" s="73"/>
    </row>
    <row r="37" spans="1:17" ht="21.75" customHeight="1" x14ac:dyDescent="0.2">
      <c r="J37" s="74" t="s">
        <v>216</v>
      </c>
      <c r="K37" s="74"/>
      <c r="L37" s="74"/>
      <c r="M37" s="74"/>
      <c r="N37" s="74"/>
      <c r="O37" s="74"/>
      <c r="P37" s="74"/>
      <c r="Q37" s="74"/>
    </row>
    <row r="38" spans="1:17" ht="21.75" customHeight="1" x14ac:dyDescent="0.2">
      <c r="J38" s="61" t="s">
        <v>217</v>
      </c>
      <c r="K38" s="61"/>
      <c r="L38" s="61"/>
      <c r="M38" s="61"/>
      <c r="N38" s="61"/>
      <c r="O38" s="61"/>
      <c r="P38" s="61"/>
      <c r="Q38" s="61"/>
    </row>
    <row r="100" spans="15:20" x14ac:dyDescent="0.2">
      <c r="O100" t="s">
        <v>63</v>
      </c>
      <c r="P100" t="s">
        <v>89</v>
      </c>
    </row>
    <row r="101" spans="15:20" x14ac:dyDescent="0.2">
      <c r="O101" t="s">
        <v>68</v>
      </c>
      <c r="P101">
        <v>-7.4099999999999999E-2</v>
      </c>
    </row>
    <row r="102" spans="15:20" x14ac:dyDescent="0.2">
      <c r="O102" t="s">
        <v>71</v>
      </c>
      <c r="P102">
        <v>-7.2400000000000006E-2</v>
      </c>
    </row>
    <row r="103" spans="15:20" x14ac:dyDescent="0.2">
      <c r="O103" t="s">
        <v>73</v>
      </c>
      <c r="P103">
        <v>0.2074</v>
      </c>
    </row>
    <row r="104" spans="15:20" x14ac:dyDescent="0.2">
      <c r="O104" t="s">
        <v>76</v>
      </c>
      <c r="P104">
        <v>0.22969999999999999</v>
      </c>
    </row>
    <row r="105" spans="15:20" x14ac:dyDescent="0.2">
      <c r="O105" t="s">
        <v>79</v>
      </c>
      <c r="P105">
        <v>-2.7099999999999999E-2</v>
      </c>
    </row>
    <row r="110" spans="15:20" x14ac:dyDescent="0.2">
      <c r="O110" t="s">
        <v>83</v>
      </c>
      <c r="P110" t="s">
        <v>68</v>
      </c>
      <c r="Q110" t="s">
        <v>71</v>
      </c>
      <c r="R110" t="s">
        <v>73</v>
      </c>
      <c r="S110" t="s">
        <v>76</v>
      </c>
      <c r="T110" t="s">
        <v>79</v>
      </c>
    </row>
    <row r="111" spans="15:20" x14ac:dyDescent="0.2">
      <c r="O111" t="s">
        <v>218</v>
      </c>
      <c r="P111">
        <v>243</v>
      </c>
      <c r="Q111">
        <v>442</v>
      </c>
      <c r="R111">
        <v>108.5</v>
      </c>
      <c r="S111">
        <v>527</v>
      </c>
      <c r="T111">
        <v>239.5</v>
      </c>
    </row>
    <row r="112" spans="15:20" x14ac:dyDescent="0.2">
      <c r="O112" t="s">
        <v>219</v>
      </c>
      <c r="P112">
        <v>250</v>
      </c>
      <c r="Q112">
        <v>448</v>
      </c>
      <c r="R112">
        <v>112</v>
      </c>
      <c r="S112">
        <v>525</v>
      </c>
      <c r="T112">
        <v>244</v>
      </c>
    </row>
    <row r="113" spans="15:20" x14ac:dyDescent="0.2">
      <c r="O113" t="s">
        <v>220</v>
      </c>
      <c r="P113">
        <v>218</v>
      </c>
      <c r="Q113">
        <v>395</v>
      </c>
      <c r="R113">
        <v>128</v>
      </c>
      <c r="S113">
        <v>624</v>
      </c>
      <c r="T113">
        <v>228</v>
      </c>
    </row>
    <row r="114" spans="15:20" x14ac:dyDescent="0.2">
      <c r="O114" t="s">
        <v>221</v>
      </c>
      <c r="P114">
        <v>225</v>
      </c>
      <c r="Q114">
        <v>410</v>
      </c>
      <c r="R114">
        <v>131</v>
      </c>
      <c r="S114">
        <v>648</v>
      </c>
      <c r="T114">
        <v>233</v>
      </c>
    </row>
  </sheetData>
  <mergeCells count="24">
    <mergeCell ref="A1:Q1"/>
    <mergeCell ref="A2:Q2"/>
    <mergeCell ref="A4:B4"/>
    <mergeCell ref="C4:D4"/>
    <mergeCell ref="E4:F4"/>
    <mergeCell ref="G4:H4"/>
    <mergeCell ref="I4:J4"/>
    <mergeCell ref="K4:L4"/>
    <mergeCell ref="K5:L5"/>
    <mergeCell ref="A29:H29"/>
    <mergeCell ref="J29:Q29"/>
    <mergeCell ref="J31:Q31"/>
    <mergeCell ref="J32:Q32"/>
    <mergeCell ref="A5:B5"/>
    <mergeCell ref="C5:D5"/>
    <mergeCell ref="E5:F5"/>
    <mergeCell ref="G5:H5"/>
    <mergeCell ref="I5:J5"/>
    <mergeCell ref="J38:Q38"/>
    <mergeCell ref="J33:Q33"/>
    <mergeCell ref="J34:Q34"/>
    <mergeCell ref="J35:Q35"/>
    <mergeCell ref="J36:Q36"/>
    <mergeCell ref="J37:Q37"/>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zoomScaleNormal="100" workbookViewId="0">
      <selection sqref="A1:E1"/>
    </sheetView>
  </sheetViews>
  <sheetFormatPr baseColWidth="10" defaultColWidth="8.6640625" defaultRowHeight="15" x14ac:dyDescent="0.2"/>
  <cols>
    <col min="1" max="5" width="20" customWidth="1"/>
  </cols>
  <sheetData>
    <row r="1" spans="1:5" ht="45" customHeight="1" x14ac:dyDescent="0.2">
      <c r="A1" s="88" t="s">
        <v>222</v>
      </c>
      <c r="B1" s="88"/>
      <c r="C1" s="88"/>
      <c r="D1" s="88"/>
      <c r="E1" s="88"/>
    </row>
    <row r="3" spans="1:5" ht="24" customHeight="1" x14ac:dyDescent="0.2">
      <c r="A3" s="57" t="s">
        <v>223</v>
      </c>
      <c r="B3" s="57"/>
      <c r="C3" s="57"/>
      <c r="D3" s="57"/>
      <c r="E3" s="57"/>
    </row>
    <row r="4" spans="1:5" ht="45" customHeight="1" x14ac:dyDescent="0.2">
      <c r="A4" s="86" t="s">
        <v>224</v>
      </c>
      <c r="B4" s="86"/>
      <c r="C4" s="86"/>
      <c r="D4" s="86"/>
      <c r="E4" s="86"/>
    </row>
    <row r="5" spans="1:5" ht="45" customHeight="1" x14ac:dyDescent="0.2">
      <c r="A5" s="86"/>
      <c r="B5" s="86"/>
      <c r="C5" s="86"/>
      <c r="D5" s="86"/>
      <c r="E5" s="86"/>
    </row>
    <row r="7" spans="1:5" ht="24" customHeight="1" x14ac:dyDescent="0.2">
      <c r="A7" s="56" t="s">
        <v>225</v>
      </c>
      <c r="B7" s="56"/>
      <c r="C7" s="56"/>
      <c r="D7" s="56"/>
      <c r="E7" s="56"/>
    </row>
    <row r="8" spans="1:5" ht="45" customHeight="1" x14ac:dyDescent="0.2">
      <c r="A8" s="87" t="s">
        <v>226</v>
      </c>
      <c r="B8" s="87"/>
      <c r="C8" s="87"/>
      <c r="D8" s="87"/>
      <c r="E8" s="87"/>
    </row>
    <row r="9" spans="1:5" ht="45" customHeight="1" x14ac:dyDescent="0.2">
      <c r="A9" s="87"/>
      <c r="B9" s="87"/>
      <c r="C9" s="87"/>
      <c r="D9" s="87"/>
      <c r="E9" s="87"/>
    </row>
    <row r="11" spans="1:5" ht="24" customHeight="1" x14ac:dyDescent="0.2">
      <c r="A11" s="56" t="s">
        <v>227</v>
      </c>
      <c r="B11" s="56"/>
      <c r="C11" s="56"/>
      <c r="D11" s="56"/>
      <c r="E11" s="56"/>
    </row>
    <row r="12" spans="1:5" ht="45" customHeight="1" x14ac:dyDescent="0.2">
      <c r="A12" s="86" t="s">
        <v>228</v>
      </c>
      <c r="B12" s="86"/>
      <c r="C12" s="86"/>
      <c r="D12" s="86"/>
      <c r="E12" s="86"/>
    </row>
    <row r="13" spans="1:5" ht="45" customHeight="1" x14ac:dyDescent="0.2">
      <c r="A13" s="86"/>
      <c r="B13" s="86"/>
      <c r="C13" s="86"/>
      <c r="D13" s="86"/>
      <c r="E13" s="86"/>
    </row>
    <row r="15" spans="1:5" ht="24" customHeight="1" x14ac:dyDescent="0.2">
      <c r="A15" s="56" t="s">
        <v>229</v>
      </c>
      <c r="B15" s="56"/>
      <c r="C15" s="56"/>
      <c r="D15" s="56"/>
      <c r="E15" s="56"/>
    </row>
    <row r="16" spans="1:5" ht="45" customHeight="1" x14ac:dyDescent="0.2">
      <c r="A16" s="87" t="s">
        <v>230</v>
      </c>
      <c r="B16" s="87"/>
      <c r="C16" s="87"/>
      <c r="D16" s="87"/>
      <c r="E16" s="87"/>
    </row>
    <row r="17" spans="1:5" ht="45" customHeight="1" x14ac:dyDescent="0.2">
      <c r="A17" s="87"/>
      <c r="B17" s="87"/>
      <c r="C17" s="87"/>
      <c r="D17" s="87"/>
      <c r="E17" s="87"/>
    </row>
    <row r="19" spans="1:5" ht="24" customHeight="1" x14ac:dyDescent="0.2">
      <c r="A19" s="56" t="s">
        <v>231</v>
      </c>
      <c r="B19" s="56"/>
      <c r="C19" s="56"/>
      <c r="D19" s="56"/>
      <c r="E19" s="56"/>
    </row>
    <row r="20" spans="1:5" ht="45" customHeight="1" x14ac:dyDescent="0.2">
      <c r="A20" s="86" t="s">
        <v>232</v>
      </c>
      <c r="B20" s="86"/>
      <c r="C20" s="86"/>
      <c r="D20" s="86"/>
      <c r="E20" s="86"/>
    </row>
    <row r="21" spans="1:5" ht="45" customHeight="1" x14ac:dyDescent="0.2">
      <c r="A21" s="86"/>
      <c r="B21" s="86"/>
      <c r="C21" s="86"/>
      <c r="D21" s="86"/>
      <c r="E21" s="86"/>
    </row>
    <row r="23" spans="1:5" ht="24" customHeight="1" x14ac:dyDescent="0.2">
      <c r="A23" s="56" t="s">
        <v>233</v>
      </c>
      <c r="B23" s="56"/>
      <c r="C23" s="56"/>
      <c r="D23" s="56"/>
      <c r="E23" s="56"/>
    </row>
    <row r="24" spans="1:5" ht="45" customHeight="1" x14ac:dyDescent="0.2">
      <c r="A24" s="87" t="s">
        <v>234</v>
      </c>
      <c r="B24" s="87"/>
      <c r="C24" s="87"/>
      <c r="D24" s="87"/>
      <c r="E24" s="87"/>
    </row>
    <row r="25" spans="1:5" ht="45" customHeight="1" x14ac:dyDescent="0.2">
      <c r="A25" s="87"/>
      <c r="B25" s="87"/>
      <c r="C25" s="87"/>
      <c r="D25" s="87"/>
      <c r="E25" s="87"/>
    </row>
    <row r="27" spans="1:5" ht="24" customHeight="1" x14ac:dyDescent="0.2">
      <c r="A27" s="56" t="s">
        <v>235</v>
      </c>
      <c r="B27" s="56"/>
      <c r="C27" s="56"/>
      <c r="D27" s="56"/>
      <c r="E27" s="56"/>
    </row>
    <row r="28" spans="1:5" ht="45" customHeight="1" x14ac:dyDescent="0.2">
      <c r="A28" s="86" t="s">
        <v>236</v>
      </c>
      <c r="B28" s="86"/>
      <c r="C28" s="86"/>
      <c r="D28" s="86"/>
      <c r="E28" s="86"/>
    </row>
    <row r="29" spans="1:5" ht="45" customHeight="1" x14ac:dyDescent="0.2">
      <c r="A29" s="86"/>
      <c r="B29" s="86"/>
      <c r="C29" s="86"/>
      <c r="D29" s="86"/>
      <c r="E29" s="86"/>
    </row>
  </sheetData>
  <mergeCells count="15">
    <mergeCell ref="A1:E1"/>
    <mergeCell ref="A3:E3"/>
    <mergeCell ref="A4:E5"/>
    <mergeCell ref="A7:E7"/>
    <mergeCell ref="A8:E9"/>
    <mergeCell ref="A11:E11"/>
    <mergeCell ref="A12:E13"/>
    <mergeCell ref="A15:E15"/>
    <mergeCell ref="A16:E17"/>
    <mergeCell ref="A19:E19"/>
    <mergeCell ref="A20:E21"/>
    <mergeCell ref="A23:E23"/>
    <mergeCell ref="A24:E25"/>
    <mergeCell ref="A27:E27"/>
    <mergeCell ref="A28:E2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1_Crisis_Background</vt:lpstr>
      <vt:lpstr>2_Stock_Price_Data</vt:lpstr>
      <vt:lpstr>3_Sector_Impact</vt:lpstr>
      <vt:lpstr>4_My_Analysis</vt:lpstr>
      <vt:lpstr>5_DASHBOARD</vt:lpstr>
      <vt:lpstr>6_My_Conclusions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Nikhil Sai DAMERA</cp:lastModifiedBy>
  <cp:revision>1</cp:revision>
  <dcterms:created xsi:type="dcterms:W3CDTF">2026-05-30T23:43:01Z</dcterms:created>
  <dcterms:modified xsi:type="dcterms:W3CDTF">2026-05-31T22:03:37Z</dcterms:modified>
  <dc:language>en-US</dc:language>
</cp:coreProperties>
</file>